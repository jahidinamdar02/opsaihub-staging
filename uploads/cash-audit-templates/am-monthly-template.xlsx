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timhortonsindia-my.sharepoint.com/personal/jahid_inamdar_timhortonsindia_com/Documents/Desktop/cash handling process/Final/"/>
    </mc:Choice>
  </mc:AlternateContent>
  <xr:revisionPtr revIDLastSave="0" documentId="8_{59BA1D37-45B5-47A1-BDD6-2C8D54CA399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onthly Governance" sheetId="1" r:id="rId1"/>
    <sheet name="Store Ranking &amp; Scorecard" sheetId="2" r:id="rId2"/>
    <sheet name="Repeat Offender Tracker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4" i="3" l="1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F60" i="1"/>
  <c r="E60" i="1"/>
  <c r="H57" i="1"/>
  <c r="H56" i="1"/>
  <c r="H54" i="1"/>
  <c r="H53" i="1"/>
  <c r="H52" i="1"/>
  <c r="H50" i="1"/>
  <c r="H49" i="1"/>
  <c r="H47" i="1"/>
  <c r="H46" i="1"/>
  <c r="H44" i="1"/>
  <c r="H43" i="1"/>
  <c r="H41" i="1"/>
  <c r="H40" i="1"/>
  <c r="H38" i="1"/>
  <c r="H37" i="1"/>
  <c r="H35" i="1"/>
  <c r="H34" i="1"/>
  <c r="H33" i="1"/>
  <c r="H32" i="1"/>
  <c r="H30" i="1"/>
  <c r="H29" i="1"/>
  <c r="H28" i="1"/>
  <c r="H27" i="1"/>
  <c r="H25" i="1"/>
  <c r="H24" i="1"/>
  <c r="H23" i="1"/>
  <c r="H22" i="1"/>
  <c r="H20" i="1"/>
  <c r="H19" i="1"/>
  <c r="H18" i="1"/>
  <c r="H17" i="1"/>
  <c r="H15" i="1"/>
  <c r="H14" i="1"/>
  <c r="H13" i="1"/>
  <c r="H11" i="1"/>
  <c r="H10" i="1"/>
  <c r="H9" i="1"/>
  <c r="G60" i="1" s="1"/>
  <c r="H60" i="1" s="1"/>
</calcChain>
</file>

<file path=xl/sharedStrings.xml><?xml version="1.0" encoding="utf-8"?>
<sst xmlns="http://schemas.openxmlformats.org/spreadsheetml/2006/main" count="365" uniqueCount="256">
  <si>
    <t>TIM HORTONS INDIA — MONTHLY GOVERNANCE &amp; COMPLIANCE REVIEW (SOP v1 — 18 May 2026)</t>
  </si>
  <si>
    <t>Monthly Deep-Review  |  Signed by Store Manager + Area Manager + Regional Leadership  |  Retention: 6 Months</t>
  </si>
  <si>
    <t>Store Name:</t>
  </si>
  <si>
    <t>Store Code:</t>
  </si>
  <si>
    <t>City / Region:</t>
  </si>
  <si>
    <t>Month / Year:</t>
  </si>
  <si>
    <t>Store Manager:</t>
  </si>
  <si>
    <t>Area Manager:</t>
  </si>
  <si>
    <t>Region:</t>
  </si>
  <si>
    <t>Submission Date:</t>
  </si>
  <si>
    <t>Regional Head:</t>
  </si>
  <si>
    <t>Review Date:</t>
  </si>
  <si>
    <t>Previous Month Score %:</t>
  </si>
  <si>
    <t>Target Score %:</t>
  </si>
  <si>
    <t>#</t>
  </si>
  <si>
    <t>ID</t>
  </si>
  <si>
    <t>Monthly Governance Checkpoint</t>
  </si>
  <si>
    <t>SOP Reference</t>
  </si>
  <si>
    <t>Status</t>
  </si>
  <si>
    <t>Remarks / Evidence / Trend</t>
  </si>
  <si>
    <t>Severity</t>
  </si>
  <si>
    <t>Score</t>
  </si>
  <si>
    <t>▶  MTD CASH VARIANCE &amp; FLOAT COMPLIANCE</t>
  </si>
  <si>
    <t>M-01</t>
  </si>
  <si>
    <t>MTD cash variance reviewed — total within acceptable thresholds; root cause documented for any excess; float ₹4,000 maintained across all tills all month</t>
  </si>
  <si>
    <t>Cash Handling SOP — Variance Handling (Float ₹4,000 per till, SOP 18 May 2026)</t>
  </si>
  <si>
    <t>Level 3</t>
  </si>
  <si>
    <t>M-02</t>
  </si>
  <si>
    <t>Cash Handling SOP — Variance Handling: Cashier Accountability</t>
  </si>
  <si>
    <t>M-03</t>
  </si>
  <si>
    <t>Cash discrepancy incident reports filed and AM notified within TAT; all surplus deposited to bank</t>
  </si>
  <si>
    <t>Cash Handling SOP — Shift Handover: Discrepancy Handling</t>
  </si>
  <si>
    <t>Level 2</t>
  </si>
  <si>
    <t>▶  SAFE &amp; BANKING COMPLIANCE</t>
  </si>
  <si>
    <t>M-04</t>
  </si>
  <si>
    <t>All daily bank deposits reconciled for the month — denomination verified, banking slips signed and filed; all 4 deposit slip copies handled correctly</t>
  </si>
  <si>
    <t>Cash Handling SOP — Daily Bank Deposit Procedure</t>
  </si>
  <si>
    <t>M-05</t>
  </si>
  <si>
    <t>Scratch card verification from cash pickup agency confirmed for all pickups — serial matching process followed; cards filed under manager supervision</t>
  </si>
  <si>
    <t>Cash Handling SOP — Bank Deposit: Scratch Card Verification</t>
  </si>
  <si>
    <t>M-06</t>
  </si>
  <si>
    <t>Safe count logs complete for all shifts — MOD name, cash, envelopes, petty cash recorded; witness signed; 2 keys in key box (back area), 3rd with Finance throughout month</t>
  </si>
  <si>
    <t>Cash Handling SOP — MOD: Beginning of Shift / Key Box Control</t>
  </si>
  <si>
    <t>M-07</t>
  </si>
  <si>
    <t>M-08</t>
  </si>
  <si>
    <t>Void Transaction SOP — Section 9: Monitoring, Thresholds &amp; Red Flags</t>
  </si>
  <si>
    <t>M-09</t>
  </si>
  <si>
    <t>No manual cash refunds without system entry — all refunds processed in system; card/UPI refunds to original mode with tracking number; no unauthorized Ops Head exception</t>
  </si>
  <si>
    <t>Void Transaction SOP — Section 7.3: Controls for Paid Bills</t>
  </si>
  <si>
    <t>M-10</t>
  </si>
  <si>
    <t>Void Transaction SOP — Section 5: Authorization Matrix (Repeated Voids)</t>
  </si>
  <si>
    <t>▶  DISCOUNT KEY COMPLIANCE MTD</t>
  </si>
  <si>
    <t>M-11</t>
  </si>
  <si>
    <t>100% Open Discount Key confirmed disabled throughout the month — no usage detected; all zero-value billing through 5 controlled keys only</t>
  </si>
  <si>
    <t>Discount SOP — Section 4 &amp; Section 12: Effective Date (v1 18 May 2026)</t>
  </si>
  <si>
    <t>M-12</t>
  </si>
  <si>
    <t>Weekly Discount Key Usage Reports for all 4 weeks downloaded, AM-signed, and shared with Finance &amp; Operations — all 4 submissions on record</t>
  </si>
  <si>
    <t>Discount SOP — Section 8: Reporting &amp; Review Mechanism</t>
  </si>
  <si>
    <t>M-13</t>
  </si>
  <si>
    <t>All Marketing &amp; NPD Trials key usages: signed bills from recipients retained by SM and shared with Finance — physical copies available for audit</t>
  </si>
  <si>
    <t>Discount SOP — Section 7: Signed Bill Control</t>
  </si>
  <si>
    <t>M-14</t>
  </si>
  <si>
    <t>Discount misuse review: any discount without correct key / mandatory comments / sign-offs identified and disciplinary action initiated</t>
  </si>
  <si>
    <t>Discount SOP — Section 10: Misuse, Violations &amp; Penalties</t>
  </si>
  <si>
    <t>▶  MANUAL BILL BOOKING COMPLIANCE MTD</t>
  </si>
  <si>
    <t>M-15</t>
  </si>
  <si>
    <t>Manual Bill Book usage this month reviewed — only approved cases used (POS down / events / POS-DMB discrepancy / approved exception); all instances documented</t>
  </si>
  <si>
    <t>Manual Bill Booking SOP — Section 6.1: Approved Use Cases (v1 18 May 2026)</t>
  </si>
  <si>
    <t>M-16</t>
  </si>
  <si>
    <t>All days of manual bill usage: SM initialled start + end bill numbers; sequential usage verified; no missing bills; cashier returned book at end of each shift</t>
  </si>
  <si>
    <t>Manual Bill Booking SOP — Section 6.2 &amp; 6.3: Shift Control</t>
  </si>
  <si>
    <t>M-17</t>
  </si>
  <si>
    <t>All manual bills punched to POS when restored — POS receipt attached to corresponding manual bill; Daily Manual Bill Summary shared with FC on same working day</t>
  </si>
  <si>
    <t>Manual Bill Booking SOP — Section 6.4 &amp; 6.5: POS Reconciliation &amp; Daily Reporting</t>
  </si>
  <si>
    <t>M-18</t>
  </si>
  <si>
    <t>Manual Bill Books in safe throughout month — no local procurement; Finance-issued sequentially numbered books only; monthly count vs Finance register reconciled</t>
  </si>
  <si>
    <t>Manual Bill Booking SOP — Section 3: Custody &amp; Central Control / Section 5</t>
  </si>
  <si>
    <t>▶  PETTY CASH — HAPPAY CARD MTD RECONCILIATION</t>
  </si>
  <si>
    <t>M-19</t>
  </si>
  <si>
    <t>Monthly Happay Card reconciliation: prepaid card statement vs HO Live (Business Central) entries verified; regular store ₹15,000 / airport store ₹45,000 limit not breached</t>
  </si>
  <si>
    <t>Petty Cash SOP — Finance Reconciliation Process (v1 18 May 2026)</t>
  </si>
  <si>
    <t>M-20</t>
  </si>
  <si>
    <t>All petty cash submitted within 7-day rule — no late or missing claims; original bills attached; no single-party transaction &gt;₹9,900 in a day</t>
  </si>
  <si>
    <t>Petty Cash SOP — Key Deadlines &amp; Income Tax Compliance</t>
  </si>
  <si>
    <t>M-21</t>
  </si>
  <si>
    <t>Approval matrix followed: SM for ≤₹500; AM for ₹500–₹2,000; Ops Manager for ₹2,000–₹5,000; CEO for &gt;₹5,000; no unapproved category expenses (Freezer Rent/Marketing/Phone etc.)</t>
  </si>
  <si>
    <t>Petty Cash SOP — Approval Matrix &amp; Expenses Not Allowed</t>
  </si>
  <si>
    <t>M-22</t>
  </si>
  <si>
    <t>No personal expenses identified in Happay Card claims; Finance verified and replenished card within TAT; Receivables pivot report for Happay prepared</t>
  </si>
  <si>
    <t>Petty Cash SOP — Finance Verification Process</t>
  </si>
  <si>
    <t>▶  FOOD COST &amp; INVENTORY TREND</t>
  </si>
  <si>
    <t>M-25</t>
  </si>
  <si>
    <t>Monthly food cost reviewed vs plan — variance explained with supporting data; no unauthorized consumption or giveaway to friends/relatives/Tims Mates</t>
  </si>
  <si>
    <t>Cash Handling SOP — Policy Violations / Mandatory Focus: Food Cost</t>
  </si>
  <si>
    <t>M-26</t>
  </si>
  <si>
    <t>Inventory movement reviewed — no unexplained variances in key categories; wastage tracked and signed off; stock transfers authorized and documented</t>
  </si>
  <si>
    <t>Mandatory Focus: Inventory Variance &amp; Stock Transfers</t>
  </si>
  <si>
    <t>▶  PAYROLL &amp; ATTENDANCE ANOMALY REVIEW</t>
  </si>
  <si>
    <t>M-27</t>
  </si>
  <si>
    <t>Payroll records reviewed for anomalies — no unexplained additions or deductions; attendance cross-checked for manipulation</t>
  </si>
  <si>
    <t>Mandatory Focus: Payroll Anomalies &amp; Attendance Manipulation</t>
  </si>
  <si>
    <t>M-28</t>
  </si>
  <si>
    <t>Staff meal and beverage monthly consumption reviewed per Tims Mate — barcode/employee card scanned for all; no misuse pattern; eligibility verified</t>
  </si>
  <si>
    <t>Cash Handling SOP — Staff Meals &amp; Beverages / POS Manipulation: Staff Meal</t>
  </si>
  <si>
    <t>▶  REPEAT VIOLATION TRACKING</t>
  </si>
  <si>
    <t>M-29</t>
  </si>
  <si>
    <t>All violations from the month categorized by severity — repeat offenders identified; cashiers with 3+ cash variance incidents tracked for termination eligibility</t>
  </si>
  <si>
    <t>Cash Handling SOP — Policy Violations &amp; Severity Classification Framework</t>
  </si>
  <si>
    <t>M-30</t>
  </si>
  <si>
    <t>Repeat violators from prior month — corrective actions implemented and verified; coaching and corrective action records filed for all L2+ violations</t>
  </si>
  <si>
    <t>Repeat Violation Tracking / Cash Handling SOP — Policy Violations</t>
  </si>
  <si>
    <t>▶  CCTV &amp; SECURITY AUDIT</t>
  </si>
  <si>
    <t>M-31</t>
  </si>
  <si>
    <t>CCTV recording continuity verified for full month — no unexplained gaps; all critical zones covered: POS, safe, dispatch, petty cash</t>
  </si>
  <si>
    <t>Project SOP — CCTV Compliance</t>
  </si>
  <si>
    <t>M-32</t>
  </si>
  <si>
    <t>CCTV confirmed operational during all till handovers — cashier-to-cashier handovers in CCTV view verified throughout month</t>
  </si>
  <si>
    <t>Cash Handling SOP — Step 2: Till Handover in CCTV View</t>
  </si>
  <si>
    <t>▶  RANDOM TILL AUDIT COMPLIANCE MTD</t>
  </si>
  <si>
    <t>M-33</t>
  </si>
  <si>
    <t>Minimum 8 random till audits this month (2/week) — all unannounced, all documented; new Tims Mates audited at least once</t>
  </si>
  <si>
    <t>Cash Handling SOP — Random Till Audits (minimum 2/week)</t>
  </si>
  <si>
    <t>M-34</t>
  </si>
  <si>
    <t>Partner cashier physical count verification conducted — any discrepancy held against cashier/cash controller; disciplinary actions documented</t>
  </si>
  <si>
    <t>Cash Handling SOP — Random Till Audits: Partner Cashier Verification</t>
  </si>
  <si>
    <t>▶  AUDIT FILE &amp; DOCUMENTATION COMPLETENESS</t>
  </si>
  <si>
    <t>M-35</t>
  </si>
  <si>
    <t>Cash Handling SOP — Introduction / Void SOP — Section 6.4 / Bill Reprint Prohibition</t>
  </si>
  <si>
    <t>M-36</t>
  </si>
  <si>
    <t>All 4 weekly checklists submitted on time; all Discount Key Usage Reports AM-signed and submitted; all Manual Bill Summaries shared with FC (if applicable)</t>
  </si>
  <si>
    <t>Project SOP — Submission Workflow / Discount SOP / Manual Bill SOP</t>
  </si>
  <si>
    <t>M-37</t>
  </si>
  <si>
    <t>Document retention in progress — all records from past 6 months available for audit; physical files and scan copies accessible</t>
  </si>
  <si>
    <t>Project SOP — Document Retention: 6 Months (all SOPs 18 May 2026)</t>
  </si>
  <si>
    <t>▶  CORRECTIVE ACTION CLOSURE STATUS</t>
  </si>
  <si>
    <t>All corrective actions from prior month weekly checklists — closure verified and documented; open items escalated to Regional Leadership</t>
  </si>
  <si>
    <t>Corrective Action Tracker / Management Escalation SOP</t>
  </si>
  <si>
    <t>Open escalations from prior month — status updated; responsible party notified; Ops Head / Finance Controller loop closed on L4/L5 items</t>
  </si>
  <si>
    <t>Severity Classification Framework / Management Escalation SOP</t>
  </si>
  <si>
    <t>MONTHLY GOVERNANCE SCORE</t>
  </si>
  <si>
    <t>Compliant</t>
  </si>
  <si>
    <t>Non-Compliant</t>
  </si>
  <si>
    <t>Compliance %</t>
  </si>
  <si>
    <t>Risk Rating</t>
  </si>
  <si>
    <t>Monthly Governance Score</t>
  </si>
  <si>
    <t>THREE-LEVEL SIGN-OFF — MANDATORY FOR ALL MONTHLY SUBMISSIONS</t>
  </si>
  <si>
    <t>Store Manager Name</t>
  </si>
  <si>
    <t>SM Signature</t>
  </si>
  <si>
    <t>SM Sign Date</t>
  </si>
  <si>
    <t>Area Manager Name</t>
  </si>
  <si>
    <t>AM Signature</t>
  </si>
  <si>
    <t>AM Review Date</t>
  </si>
  <si>
    <t>AM Score Assessment</t>
  </si>
  <si>
    <t>AM Escalation Notes</t>
  </si>
  <si>
    <t>Regional Head Name</t>
  </si>
  <si>
    <t>Regional Signature</t>
  </si>
  <si>
    <t>Regional Review Date</t>
  </si>
  <si>
    <t>Regional Risk Rating</t>
  </si>
  <si>
    <t>Previous Month Score</t>
  </si>
  <si>
    <t>MoM Change</t>
  </si>
  <si>
    <t>Disciplinary Notes</t>
  </si>
  <si>
    <t>Next Review Date</t>
  </si>
  <si>
    <t>Tim Hortons India  |  Financial Controls &amp; Compliance Governance  |  Document Retention: 6 Months  |  SOP Effective: 18 May 2026  |  Version 1</t>
  </si>
  <si>
    <t>TIM HORTONS INDIA — MONTHLY STORE RANKING &amp; REGIONAL SCORECARD</t>
  </si>
  <si>
    <t>Area Manager Governance View  |  Regional Benchmarking  |  SOP v1 18 May 2026  |  Month: ___________________</t>
  </si>
  <si>
    <t>Store Code</t>
  </si>
  <si>
    <t>Store Name</t>
  </si>
  <si>
    <t>Area Manager</t>
  </si>
  <si>
    <t>Region</t>
  </si>
  <si>
    <t>Weekly Score Avg</t>
  </si>
  <si>
    <t>Monthly Score</t>
  </si>
  <si>
    <t>Cash Variance Flag</t>
  </si>
  <si>
    <t>Repeat Violations</t>
  </si>
  <si>
    <t>Rank</t>
  </si>
  <si>
    <t>TH Malhar Road</t>
  </si>
  <si>
    <t>Deepak</t>
  </si>
  <si>
    <t>Punjab</t>
  </si>
  <si>
    <t>TH Sunview Enclave</t>
  </si>
  <si>
    <t>TH Bucho Bathinda</t>
  </si>
  <si>
    <t>TH Patiala</t>
  </si>
  <si>
    <t>TH Mohali</t>
  </si>
  <si>
    <t>Kajal</t>
  </si>
  <si>
    <t>TH Sangrur</t>
  </si>
  <si>
    <t>TH Elante Mall</t>
  </si>
  <si>
    <t>TH Sec 35 Chandigarh</t>
  </si>
  <si>
    <t>TH DLF Cyberhub</t>
  </si>
  <si>
    <t>Harish</t>
  </si>
  <si>
    <t>Delhi</t>
  </si>
  <si>
    <t>TH Golf Course AIPL</t>
  </si>
  <si>
    <t>TH Select City Saket</t>
  </si>
  <si>
    <t>TH Green Park</t>
  </si>
  <si>
    <t>TH Punjabi Bagh</t>
  </si>
  <si>
    <t>Rohit</t>
  </si>
  <si>
    <t>TH Vegas Mall</t>
  </si>
  <si>
    <t>TH T3D DIAL</t>
  </si>
  <si>
    <t>Raman</t>
  </si>
  <si>
    <t>TH NSP Pritampura</t>
  </si>
  <si>
    <t>TH Basant Lok</t>
  </si>
  <si>
    <t>TH Epicuria Nehru Place</t>
  </si>
  <si>
    <t>TH T1D Dial</t>
  </si>
  <si>
    <t>TH T3D Food Court</t>
  </si>
  <si>
    <t>TH Skymark One</t>
  </si>
  <si>
    <t>TH T1 Ahmedabad Airport</t>
  </si>
  <si>
    <t>TBA</t>
  </si>
  <si>
    <t>Gujarat</t>
  </si>
  <si>
    <t>TH Sindhu Bhavan</t>
  </si>
  <si>
    <t>TH Navrangpura</t>
  </si>
  <si>
    <t>TH Lokhandwala</t>
  </si>
  <si>
    <t>Akash C</t>
  </si>
  <si>
    <t>Mumbai</t>
  </si>
  <si>
    <t>TH MC Kurla</t>
  </si>
  <si>
    <t>TH Bandra</t>
  </si>
  <si>
    <t>TH Balewadi Pune</t>
  </si>
  <si>
    <t>Pune</t>
  </si>
  <si>
    <t>TH FIFC Mumbai</t>
  </si>
  <si>
    <t>TH HPCL Expressway</t>
  </si>
  <si>
    <t>Akash R</t>
  </si>
  <si>
    <t>Navi Mumbai</t>
  </si>
  <si>
    <t>TH Viman Nagar</t>
  </si>
  <si>
    <t>TH Phoenix Mall Wakad</t>
  </si>
  <si>
    <t>TH Nexus Seawood</t>
  </si>
  <si>
    <t>TH FC Road</t>
  </si>
  <si>
    <t>TH NMIA Arrival</t>
  </si>
  <si>
    <t>TH NMIA Departure</t>
  </si>
  <si>
    <t>TH BIAL</t>
  </si>
  <si>
    <t>Jagadeesha</t>
  </si>
  <si>
    <t>Karnataka</t>
  </si>
  <si>
    <t>TH Mall of Asia</t>
  </si>
  <si>
    <t>TH Koramangala</t>
  </si>
  <si>
    <t>TH HSR</t>
  </si>
  <si>
    <t>TH Inorbit Mall-Hyderabad</t>
  </si>
  <si>
    <t>Shivam</t>
  </si>
  <si>
    <t>Telangana</t>
  </si>
  <si>
    <t>TH HIAL</t>
  </si>
  <si>
    <t>TH HIAL Arrival</t>
  </si>
  <si>
    <t>TH Lakeshore</t>
  </si>
  <si>
    <t>TIM HORTONS INDIA — REPEAT VIOLATION &amp; OFFENDER TRACKER (SOP v1 — 18 May 2026)</t>
  </si>
  <si>
    <t>Rolling 4-Week Window  |  3+ Cash Variance Incidents = Termination Eligible  |  Auto-Flag on 2+ Violations  |  Retention: 6 Months</t>
  </si>
  <si>
    <t>Tims Mate / Store</t>
  </si>
  <si>
    <t>Violation Type</t>
  </si>
  <si>
    <t>Week 1</t>
  </si>
  <si>
    <t>Week 2</t>
  </si>
  <si>
    <t>Week 3</t>
  </si>
  <si>
    <t>Week 4</t>
  </si>
  <si>
    <t>Repeat Count</t>
  </si>
  <si>
    <t>Severity Escalated</t>
  </si>
  <si>
    <t>Disciplinary Action</t>
  </si>
  <si>
    <t>All cashier-level shortages above ₹50 actioned — cashier bears shortfall; 3+ repeat cases tracked for termination eligibility</t>
  </si>
  <si>
    <t>▶  VOID &amp; Refund COMPLIANCE MTD</t>
  </si>
  <si>
    <t>Void/Refund Register maintained continuously — all voids/Refunds have bill number, amount, reason code, approval initials; Daily Void Summary reviewed by SM</t>
  </si>
  <si>
    <t>Void Transaction &amp; Refund SOP — Section 6.4 &amp; Section 8 (v1 18 May 2026)</t>
  </si>
  <si>
    <t>Monthly void count and Refund count reviewed per cashier — no excessive or escalating trend; high usage triggered investigation this month</t>
  </si>
  <si>
    <t>Repeated void/Refund cases escalated to Ops Head &amp; Finance Controller; POS access restriction applied where required</t>
  </si>
  <si>
    <t>All daily cash log books complete and signed for the month; Void/Refund Register updated daily; Shift Handover Book signed for all shifts; bill reprint not issued</t>
  </si>
  <si>
    <t>M-23</t>
  </si>
  <si>
    <t>M-24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</si>
</sst>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9"/>
      <color rgb="FF666666"/>
      <name val="Arial"/>
      <charset val="1"/>
    </font>
    <font>
      <b/>
      <sz val="9"/>
      <color rgb="FFC8102E"/>
      <name val="Arial"/>
      <charset val="1"/>
    </font>
    <font>
      <sz val="9"/>
      <color rgb="FF222222"/>
      <name val="Arial"/>
      <charset val="1"/>
    </font>
    <font>
      <sz val="9"/>
      <color rgb="FFA32D2D"/>
      <name val="Arial"/>
      <charset val="1"/>
    </font>
    <font>
      <b/>
      <sz val="10"/>
      <name val="Arial"/>
      <charset val="1"/>
    </font>
    <font>
      <sz val="9"/>
      <color rgb="FF854F0B"/>
      <name val="Arial"/>
      <charset val="1"/>
    </font>
    <font>
      <b/>
      <sz val="10"/>
      <color rgb="FF222222"/>
      <name val="Arial"/>
      <charset val="1"/>
    </font>
    <font>
      <b/>
      <sz val="12"/>
      <color rgb="FF3B6D11"/>
      <name val="Arial"/>
      <charset val="1"/>
    </font>
    <font>
      <b/>
      <sz val="12"/>
      <color rgb="FFA32D2D"/>
      <name val="Arial"/>
      <charset val="1"/>
    </font>
    <font>
      <b/>
      <sz val="12"/>
      <name val="Arial"/>
      <charset val="1"/>
    </font>
    <font>
      <b/>
      <sz val="9"/>
      <color rgb="FF444444"/>
      <name val="Arial"/>
      <charset val="1"/>
    </font>
    <font>
      <i/>
      <sz val="8"/>
      <color rgb="FF888888"/>
      <name val="Arial"/>
      <charset val="1"/>
    </font>
    <font>
      <sz val="8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C8102E"/>
        <bgColor rgb="FFA32D2D"/>
      </patternFill>
    </fill>
    <fill>
      <patternFill patternType="solid">
        <fgColor rgb="FF6B2737"/>
        <bgColor rgb="FF501313"/>
      </patternFill>
    </fill>
    <fill>
      <patternFill patternType="solid">
        <fgColor rgb="FFF9F0F2"/>
        <bgColor rgb="FFFCEBEB"/>
      </patternFill>
    </fill>
    <fill>
      <patternFill patternType="solid">
        <fgColor rgb="FFFFFFFF"/>
        <bgColor rgb="FFFDF6F0"/>
      </patternFill>
    </fill>
    <fill>
      <patternFill patternType="solid">
        <fgColor rgb="FFFCEBEB"/>
        <bgColor rgb="FFF9F0F2"/>
      </patternFill>
    </fill>
    <fill>
      <patternFill patternType="solid">
        <fgColor rgb="FFFDF6F0"/>
        <bgColor rgb="FFF9F0F2"/>
      </patternFill>
    </fill>
    <fill>
      <patternFill patternType="solid">
        <fgColor rgb="FFFAEEDA"/>
        <bgColor rgb="FFFCEBEB"/>
      </patternFill>
    </fill>
    <fill>
      <patternFill patternType="solid">
        <fgColor rgb="FF185FA5"/>
        <bgColor rgb="FF008080"/>
      </patternFill>
    </fill>
    <fill>
      <patternFill patternType="solid">
        <fgColor rgb="FFA32D2D"/>
        <bgColor rgb="FFC8102E"/>
      </patternFill>
    </fill>
    <fill>
      <patternFill patternType="solid">
        <fgColor rgb="FF854F0B"/>
        <bgColor rgb="FFA32D2D"/>
      </patternFill>
    </fill>
    <fill>
      <patternFill patternType="solid">
        <fgColor rgb="FF3B6D11"/>
        <bgColor rgb="FF527A1A"/>
      </patternFill>
    </fill>
    <fill>
      <patternFill patternType="solid">
        <fgColor rgb="FF444444"/>
        <bgColor rgb="FF555555"/>
      </patternFill>
    </fill>
    <fill>
      <patternFill patternType="solid">
        <fgColor rgb="FF2D0A10"/>
        <bgColor rgb="FF22222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5" borderId="1" xfId="0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64" fontId="14" fillId="5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4" fillId="11" borderId="3" xfId="0" applyFont="1" applyFill="1" applyBorder="1" applyAlignment="1">
      <alignment horizontal="left" vertical="center" wrapText="1"/>
    </xf>
    <xf numFmtId="0" fontId="4" fillId="12" borderId="3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4" fillId="13" borderId="3" xfId="0" applyFont="1" applyFill="1" applyBorder="1" applyAlignment="1">
      <alignment horizontal="left" vertical="center" wrapText="1"/>
    </xf>
    <xf numFmtId="0" fontId="4" fillId="1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/>
        <color rgb="FF854F0B"/>
      </font>
      <fill>
        <patternFill>
          <bgColor rgb="FFFAEEDA"/>
        </patternFill>
      </fill>
    </dxf>
    <dxf>
      <font>
        <b/>
        <color rgb="FFA32D2D"/>
      </font>
      <fill>
        <patternFill>
          <bgColor rgb="FFFCEBEB"/>
        </patternFill>
      </fill>
    </dxf>
    <dxf>
      <font>
        <b/>
        <color rgb="FFF09595"/>
      </font>
      <fill>
        <patternFill>
          <bgColor rgb="FF501313"/>
        </patternFill>
      </fill>
    </dxf>
    <dxf>
      <font>
        <b/>
        <color rgb="FFA32D2D"/>
      </font>
      <fill>
        <patternFill>
          <bgColor rgb="FFFCEBEB"/>
        </patternFill>
      </fill>
    </dxf>
    <dxf>
      <font>
        <b/>
        <color rgb="FF854F0B"/>
      </font>
      <fill>
        <patternFill>
          <bgColor rgb="FFFAEEDA"/>
        </patternFill>
      </fill>
    </dxf>
    <dxf>
      <font>
        <b/>
        <color rgb="FF3B6D11"/>
      </font>
      <fill>
        <patternFill>
          <bgColor rgb="FFEAF3DE"/>
        </patternFill>
      </fill>
    </dxf>
    <dxf>
      <font>
        <b/>
        <color rgb="FF3B6D11"/>
      </font>
      <fill>
        <patternFill>
          <bgColor rgb="FFEAF3DE"/>
        </patternFill>
      </fill>
    </dxf>
    <dxf>
      <font>
        <b/>
        <color rgb="FFA32D2D"/>
      </font>
      <fill>
        <patternFill>
          <bgColor rgb="FFFCEBEB"/>
        </patternFill>
      </fill>
    </dxf>
    <dxf>
      <font>
        <b/>
        <color rgb="FFA32D2D"/>
      </font>
      <fill>
        <patternFill>
          <bgColor rgb="FFFCEBEB"/>
        </patternFill>
      </fill>
    </dxf>
    <dxf>
      <font>
        <b/>
        <color rgb="FF854F0B"/>
      </font>
      <fill>
        <patternFill>
          <bgColor rgb="FFFAEEDA"/>
        </patternFill>
      </fill>
    </dxf>
    <dxf>
      <font>
        <b/>
        <color rgb="FF3B6D11"/>
      </font>
      <fill>
        <patternFill>
          <bgColor rgb="FFEAF3DE"/>
        </patternFill>
      </fill>
    </dxf>
    <dxf>
      <font>
        <b/>
        <color rgb="FF854F0B"/>
      </font>
      <fill>
        <patternFill>
          <bgColor rgb="FFFAEEDA"/>
        </patternFill>
      </fill>
    </dxf>
    <dxf>
      <font>
        <b/>
        <color rgb="FF854F0B"/>
      </font>
      <fill>
        <patternFill>
          <bgColor rgb="FFFAEEDA"/>
        </patternFill>
      </fill>
    </dxf>
    <dxf>
      <font>
        <b/>
        <color rgb="FFA32D2D"/>
      </font>
      <fill>
        <patternFill>
          <bgColor rgb="FFFCEBEB"/>
        </patternFill>
      </fill>
    </dxf>
    <dxf>
      <font>
        <b/>
        <color rgb="FF3B6D11"/>
      </font>
      <fill>
        <patternFill>
          <bgColor rgb="FFEAF3D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501313"/>
      <rgbColor rgb="FF3B6D11"/>
      <rgbColor rgb="FF000080"/>
      <rgbColor rgb="FF527A1A"/>
      <rgbColor rgb="FF800080"/>
      <rgbColor rgb="FF008080"/>
      <rgbColor rgb="FFCCCCCC"/>
      <rgbColor rgb="FF888888"/>
      <rgbColor rgb="FF9999FF"/>
      <rgbColor rgb="FF6B2737"/>
      <rgbColor rgb="FFFDF6F0"/>
      <rgbColor rgb="FFF9F0F2"/>
      <rgbColor rgb="FF660066"/>
      <rgbColor rgb="FFF09595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BEB"/>
      <rgbColor rgb="FFEAF3DE"/>
      <rgbColor rgb="FFFAEE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2D0A10"/>
      <rgbColor rgb="FF444444"/>
      <rgbColor rgb="FFA32D2D"/>
      <rgbColor rgb="FF854F0B"/>
      <rgbColor rgb="FF555555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showGridLines="0" tabSelected="1" zoomScale="90" zoomScaleNormal="90" workbookViewId="0">
      <selection activeCell="G13" sqref="G13"/>
    </sheetView>
  </sheetViews>
  <sheetFormatPr defaultColWidth="8.54296875" defaultRowHeight="14.5" x14ac:dyDescent="0.35"/>
  <cols>
    <col min="1" max="1" width="4" customWidth="1"/>
    <col min="2" max="2" width="6" customWidth="1"/>
    <col min="3" max="3" width="50" customWidth="1"/>
    <col min="4" max="4" width="24" customWidth="1"/>
    <col min="5" max="5" width="16" customWidth="1"/>
    <col min="6" max="6" width="34" customWidth="1"/>
    <col min="7" max="7" width="24" customWidth="1"/>
    <col min="8" max="8" width="14" customWidth="1"/>
  </cols>
  <sheetData>
    <row r="1" spans="1:8" ht="48" customHeight="1" x14ac:dyDescent="0.35">
      <c r="A1" s="25" t="s">
        <v>0</v>
      </c>
      <c r="B1" s="25"/>
      <c r="C1" s="25"/>
      <c r="D1" s="25"/>
      <c r="E1" s="25"/>
      <c r="F1" s="25"/>
      <c r="G1" s="25"/>
      <c r="H1" s="25"/>
    </row>
    <row r="2" spans="1:8" ht="19.5" customHeight="1" x14ac:dyDescent="0.35">
      <c r="A2" s="26" t="s">
        <v>1</v>
      </c>
      <c r="B2" s="26"/>
      <c r="C2" s="26"/>
      <c r="D2" s="26"/>
      <c r="E2" s="26"/>
      <c r="F2" s="26"/>
      <c r="G2" s="26"/>
      <c r="H2" s="26"/>
    </row>
    <row r="3" spans="1:8" ht="19.5" customHeight="1" x14ac:dyDescent="0.35">
      <c r="A3" s="2" t="s">
        <v>2</v>
      </c>
      <c r="B3" s="27"/>
      <c r="C3" s="27"/>
      <c r="D3" s="2" t="s">
        <v>3</v>
      </c>
      <c r="E3" s="1"/>
      <c r="F3" s="2" t="s">
        <v>4</v>
      </c>
      <c r="G3" s="1"/>
      <c r="H3" s="3" t="s">
        <v>5</v>
      </c>
    </row>
    <row r="4" spans="1:8" ht="19.5" customHeight="1" x14ac:dyDescent="0.35">
      <c r="A4" s="2" t="s">
        <v>6</v>
      </c>
      <c r="B4" s="27"/>
      <c r="C4" s="27"/>
      <c r="D4" s="2" t="s">
        <v>7</v>
      </c>
      <c r="E4" s="1"/>
      <c r="F4" s="2" t="s">
        <v>8</v>
      </c>
      <c r="G4" s="1"/>
      <c r="H4" s="3" t="s">
        <v>9</v>
      </c>
    </row>
    <row r="5" spans="1:8" ht="19.5" customHeight="1" x14ac:dyDescent="0.35">
      <c r="A5" s="2" t="s">
        <v>10</v>
      </c>
      <c r="B5" s="27"/>
      <c r="C5" s="27"/>
      <c r="D5" s="2" t="s">
        <v>11</v>
      </c>
      <c r="E5" s="1"/>
      <c r="F5" s="2" t="s">
        <v>12</v>
      </c>
      <c r="G5" s="1"/>
      <c r="H5" s="3" t="s">
        <v>13</v>
      </c>
    </row>
    <row r="6" spans="1:8" ht="7.5" customHeight="1" x14ac:dyDescent="0.35"/>
    <row r="7" spans="1:8" ht="27.75" customHeight="1" x14ac:dyDescent="0.35">
      <c r="A7" s="4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20</v>
      </c>
      <c r="H7" s="4" t="s">
        <v>21</v>
      </c>
    </row>
    <row r="8" spans="1:8" ht="21.75" customHeight="1" x14ac:dyDescent="0.35">
      <c r="A8" s="31" t="s">
        <v>22</v>
      </c>
      <c r="B8" s="31"/>
      <c r="C8" s="31"/>
      <c r="D8" s="31"/>
      <c r="E8" s="31"/>
      <c r="F8" s="31"/>
      <c r="G8" s="31"/>
      <c r="H8" s="31"/>
    </row>
    <row r="9" spans="1:8" ht="36" customHeight="1" x14ac:dyDescent="0.35">
      <c r="A9" s="5">
        <v>1</v>
      </c>
      <c r="B9" s="6" t="s">
        <v>23</v>
      </c>
      <c r="C9" s="7" t="s">
        <v>24</v>
      </c>
      <c r="D9" s="7" t="s">
        <v>25</v>
      </c>
      <c r="E9" s="8"/>
      <c r="F9" s="7"/>
      <c r="G9" s="14" t="s">
        <v>32</v>
      </c>
      <c r="H9" s="10">
        <f>IF(E9="Compliant",1,IF(E9="Trending Down",0.5,IF(E9="N/A",0.5,0)))</f>
        <v>0</v>
      </c>
    </row>
    <row r="10" spans="1:8" ht="36" customHeight="1" x14ac:dyDescent="0.35">
      <c r="A10" s="11">
        <v>2</v>
      </c>
      <c r="B10" s="12" t="s">
        <v>27</v>
      </c>
      <c r="C10" s="24" t="s">
        <v>247</v>
      </c>
      <c r="D10" s="13" t="s">
        <v>28</v>
      </c>
      <c r="E10" s="8"/>
      <c r="F10" s="7"/>
      <c r="G10" s="14" t="s">
        <v>32</v>
      </c>
      <c r="H10" s="10">
        <f>IF(E10="Compliant",1,IF(E10="Trending Down",0.5,IF(E10="N/A",0.5,0)))</f>
        <v>0</v>
      </c>
    </row>
    <row r="11" spans="1:8" ht="36" customHeight="1" x14ac:dyDescent="0.35">
      <c r="A11" s="5">
        <v>3</v>
      </c>
      <c r="B11" s="6" t="s">
        <v>29</v>
      </c>
      <c r="C11" s="7" t="s">
        <v>30</v>
      </c>
      <c r="D11" s="7" t="s">
        <v>31</v>
      </c>
      <c r="E11" s="8"/>
      <c r="F11" s="7"/>
      <c r="G11" s="14" t="s">
        <v>32</v>
      </c>
      <c r="H11" s="10">
        <f>IF(E11="Compliant",1,IF(E11="Trending Down",0.5,IF(E11="N/A",0.5,0)))</f>
        <v>0</v>
      </c>
    </row>
    <row r="12" spans="1:8" ht="21.75" customHeight="1" x14ac:dyDescent="0.35">
      <c r="A12" s="32" t="s">
        <v>33</v>
      </c>
      <c r="B12" s="32"/>
      <c r="C12" s="32"/>
      <c r="D12" s="32"/>
      <c r="E12" s="32"/>
      <c r="F12" s="32"/>
      <c r="G12" s="32"/>
      <c r="H12" s="32"/>
    </row>
    <row r="13" spans="1:8" ht="36" customHeight="1" x14ac:dyDescent="0.35">
      <c r="A13" s="11">
        <v>4</v>
      </c>
      <c r="B13" s="12" t="s">
        <v>34</v>
      </c>
      <c r="C13" s="13" t="s">
        <v>35</v>
      </c>
      <c r="D13" s="13" t="s">
        <v>36</v>
      </c>
      <c r="E13" s="8"/>
      <c r="F13" s="7"/>
      <c r="G13" s="14" t="s">
        <v>32</v>
      </c>
      <c r="H13" s="10">
        <f>IF(E13="Compliant",1,IF(E13="Trending Down",0.5,IF(E13="N/A",0.5,0)))</f>
        <v>0</v>
      </c>
    </row>
    <row r="14" spans="1:8" ht="36" customHeight="1" x14ac:dyDescent="0.35">
      <c r="A14" s="5">
        <v>5</v>
      </c>
      <c r="B14" s="6" t="s">
        <v>37</v>
      </c>
      <c r="C14" s="7" t="s">
        <v>38</v>
      </c>
      <c r="D14" s="7" t="s">
        <v>39</v>
      </c>
      <c r="E14" s="8"/>
      <c r="F14" s="7"/>
      <c r="G14" s="14" t="s">
        <v>32</v>
      </c>
      <c r="H14" s="10">
        <f>IF(E14="Compliant",1,IF(E14="Trending Down",0.5,IF(E14="N/A",0.5,0)))</f>
        <v>0</v>
      </c>
    </row>
    <row r="15" spans="1:8" ht="36" customHeight="1" x14ac:dyDescent="0.35">
      <c r="A15" s="11">
        <v>6</v>
      </c>
      <c r="B15" s="12" t="s">
        <v>40</v>
      </c>
      <c r="C15" s="13" t="s">
        <v>41</v>
      </c>
      <c r="D15" s="13" t="s">
        <v>42</v>
      </c>
      <c r="E15" s="8"/>
      <c r="F15" s="7"/>
      <c r="G15" s="14" t="s">
        <v>32</v>
      </c>
      <c r="H15" s="10">
        <f>IF(E15="Compliant",1,IF(E15="Trending Down",0.5,IF(E15="N/A",0.5,0)))</f>
        <v>0</v>
      </c>
    </row>
    <row r="16" spans="1:8" ht="21.75" customHeight="1" x14ac:dyDescent="0.35">
      <c r="A16" s="30" t="s">
        <v>248</v>
      </c>
      <c r="B16" s="30"/>
      <c r="C16" s="30"/>
      <c r="D16" s="30"/>
      <c r="E16" s="30"/>
      <c r="F16" s="30"/>
      <c r="G16" s="30"/>
      <c r="H16" s="30"/>
    </row>
    <row r="17" spans="1:8" ht="36" customHeight="1" x14ac:dyDescent="0.35">
      <c r="A17" s="5">
        <v>7</v>
      </c>
      <c r="B17" s="6" t="s">
        <v>43</v>
      </c>
      <c r="C17" s="7" t="s">
        <v>249</v>
      </c>
      <c r="D17" s="7" t="s">
        <v>250</v>
      </c>
      <c r="E17" s="8"/>
      <c r="F17" s="7"/>
      <c r="G17" s="9" t="s">
        <v>26</v>
      </c>
      <c r="H17" s="10">
        <f>IF(E17="Compliant",1,IF(E17="Trending Down",0.5,IF(E17="N/A",0.5,0)))</f>
        <v>0</v>
      </c>
    </row>
    <row r="18" spans="1:8" ht="36" customHeight="1" x14ac:dyDescent="0.35">
      <c r="A18" s="11">
        <v>8</v>
      </c>
      <c r="B18" s="12" t="s">
        <v>44</v>
      </c>
      <c r="C18" s="13" t="s">
        <v>251</v>
      </c>
      <c r="D18" s="13" t="s">
        <v>45</v>
      </c>
      <c r="E18" s="8"/>
      <c r="F18" s="7"/>
      <c r="G18" s="9" t="s">
        <v>26</v>
      </c>
      <c r="H18" s="10">
        <f>IF(E18="Compliant",1,IF(E18="Trending Down",0.5,IF(E18="N/A",0.5,0)))</f>
        <v>0</v>
      </c>
    </row>
    <row r="19" spans="1:8" ht="36" customHeight="1" x14ac:dyDescent="0.35">
      <c r="A19" s="5">
        <v>9</v>
      </c>
      <c r="B19" s="6" t="s">
        <v>46</v>
      </c>
      <c r="C19" s="7" t="s">
        <v>47</v>
      </c>
      <c r="D19" s="7" t="s">
        <v>48</v>
      </c>
      <c r="E19" s="8"/>
      <c r="F19" s="7"/>
      <c r="G19" s="9" t="s">
        <v>26</v>
      </c>
      <c r="H19" s="10">
        <f>IF(E19="Compliant",1,IF(E19="Trending Down",0.5,IF(E19="N/A",0.5,0)))</f>
        <v>0</v>
      </c>
    </row>
    <row r="20" spans="1:8" ht="36" customHeight="1" x14ac:dyDescent="0.35">
      <c r="A20" s="11">
        <v>10</v>
      </c>
      <c r="B20" s="12" t="s">
        <v>49</v>
      </c>
      <c r="C20" s="13" t="s">
        <v>252</v>
      </c>
      <c r="D20" s="13" t="s">
        <v>50</v>
      </c>
      <c r="E20" s="8"/>
      <c r="F20" s="7"/>
      <c r="G20" s="9" t="s">
        <v>26</v>
      </c>
      <c r="H20" s="10">
        <f>IF(E20="Compliant",1,IF(E20="Trending Down",0.5,IF(E20="N/A",0.5,0)))</f>
        <v>0</v>
      </c>
    </row>
    <row r="21" spans="1:8" ht="21.75" customHeight="1" x14ac:dyDescent="0.35">
      <c r="A21" s="33" t="s">
        <v>51</v>
      </c>
      <c r="B21" s="33"/>
      <c r="C21" s="33"/>
      <c r="D21" s="33"/>
      <c r="E21" s="33"/>
      <c r="F21" s="33"/>
      <c r="G21" s="33"/>
      <c r="H21" s="33"/>
    </row>
    <row r="22" spans="1:8" ht="36" customHeight="1" x14ac:dyDescent="0.35">
      <c r="A22" s="5">
        <v>11</v>
      </c>
      <c r="B22" s="6" t="s">
        <v>52</v>
      </c>
      <c r="C22" s="7" t="s">
        <v>53</v>
      </c>
      <c r="D22" s="7" t="s">
        <v>54</v>
      </c>
      <c r="E22" s="8"/>
      <c r="F22" s="7"/>
      <c r="G22" s="9" t="s">
        <v>26</v>
      </c>
      <c r="H22" s="10">
        <f>IF(E22="Compliant",1,IF(E22="Trending Down",0.5,IF(E22="N/A",0.5,0)))</f>
        <v>0</v>
      </c>
    </row>
    <row r="23" spans="1:8" ht="36" customHeight="1" x14ac:dyDescent="0.35">
      <c r="A23" s="11">
        <v>12</v>
      </c>
      <c r="B23" s="12" t="s">
        <v>55</v>
      </c>
      <c r="C23" s="13" t="s">
        <v>56</v>
      </c>
      <c r="D23" s="13" t="s">
        <v>57</v>
      </c>
      <c r="E23" s="8"/>
      <c r="F23" s="7"/>
      <c r="G23" s="9" t="s">
        <v>26</v>
      </c>
      <c r="H23" s="10">
        <f>IF(E23="Compliant",1,IF(E23="Trending Down",0.5,IF(E23="N/A",0.5,0)))</f>
        <v>0</v>
      </c>
    </row>
    <row r="24" spans="1:8" ht="36" customHeight="1" x14ac:dyDescent="0.35">
      <c r="A24" s="5">
        <v>13</v>
      </c>
      <c r="B24" s="6" t="s">
        <v>58</v>
      </c>
      <c r="C24" s="7" t="s">
        <v>59</v>
      </c>
      <c r="D24" s="7" t="s">
        <v>60</v>
      </c>
      <c r="E24" s="8"/>
      <c r="F24" s="7"/>
      <c r="G24" s="9" t="s">
        <v>26</v>
      </c>
      <c r="H24" s="10">
        <f>IF(E24="Compliant",1,IF(E24="Trending Down",0.5,IF(E24="N/A",0.5,0)))</f>
        <v>0</v>
      </c>
    </row>
    <row r="25" spans="1:8" ht="36" customHeight="1" x14ac:dyDescent="0.35">
      <c r="A25" s="11">
        <v>14</v>
      </c>
      <c r="B25" s="12" t="s">
        <v>61</v>
      </c>
      <c r="C25" s="13" t="s">
        <v>62</v>
      </c>
      <c r="D25" s="13" t="s">
        <v>63</v>
      </c>
      <c r="E25" s="8"/>
      <c r="F25" s="7"/>
      <c r="G25" s="9" t="s">
        <v>26</v>
      </c>
      <c r="H25" s="10">
        <f>IF(E25="Compliant",1,IF(E25="Trending Down",0.5,IF(E25="N/A",0.5,0)))</f>
        <v>0</v>
      </c>
    </row>
    <row r="26" spans="1:8" ht="21.75" customHeight="1" x14ac:dyDescent="0.35">
      <c r="A26" s="32" t="s">
        <v>64</v>
      </c>
      <c r="B26" s="32"/>
      <c r="C26" s="32"/>
      <c r="D26" s="32"/>
      <c r="E26" s="32"/>
      <c r="F26" s="32"/>
      <c r="G26" s="32"/>
      <c r="H26" s="32"/>
    </row>
    <row r="27" spans="1:8" ht="36" customHeight="1" x14ac:dyDescent="0.35">
      <c r="A27" s="5">
        <v>15</v>
      </c>
      <c r="B27" s="6" t="s">
        <v>65</v>
      </c>
      <c r="C27" s="7" t="s">
        <v>66</v>
      </c>
      <c r="D27" s="7" t="s">
        <v>67</v>
      </c>
      <c r="E27" s="8"/>
      <c r="F27" s="7"/>
      <c r="G27" s="9" t="s">
        <v>26</v>
      </c>
      <c r="H27" s="10">
        <f>IF(E27="Compliant",1,IF(E27="Trending Down",0.5,IF(E27="N/A",0.5,0)))</f>
        <v>0</v>
      </c>
    </row>
    <row r="28" spans="1:8" ht="36" customHeight="1" x14ac:dyDescent="0.35">
      <c r="A28" s="11">
        <v>16</v>
      </c>
      <c r="B28" s="12" t="s">
        <v>68</v>
      </c>
      <c r="C28" s="13" t="s">
        <v>69</v>
      </c>
      <c r="D28" s="13" t="s">
        <v>70</v>
      </c>
      <c r="E28" s="8"/>
      <c r="F28" s="7"/>
      <c r="G28" s="9" t="s">
        <v>26</v>
      </c>
      <c r="H28" s="10">
        <f>IF(E28="Compliant",1,IF(E28="Trending Down",0.5,IF(E28="N/A",0.5,0)))</f>
        <v>0</v>
      </c>
    </row>
    <row r="29" spans="1:8" ht="36" customHeight="1" x14ac:dyDescent="0.35">
      <c r="A29" s="5">
        <v>17</v>
      </c>
      <c r="B29" s="6" t="s">
        <v>71</v>
      </c>
      <c r="C29" s="7" t="s">
        <v>72</v>
      </c>
      <c r="D29" s="7" t="s">
        <v>73</v>
      </c>
      <c r="E29" s="8"/>
      <c r="F29" s="7"/>
      <c r="G29" s="9" t="s">
        <v>26</v>
      </c>
      <c r="H29" s="10">
        <f>IF(E29="Compliant",1,IF(E29="Trending Down",0.5,IF(E29="N/A",0.5,0)))</f>
        <v>0</v>
      </c>
    </row>
    <row r="30" spans="1:8" ht="36" customHeight="1" x14ac:dyDescent="0.35">
      <c r="A30" s="11">
        <v>18</v>
      </c>
      <c r="B30" s="12" t="s">
        <v>74</v>
      </c>
      <c r="C30" s="13" t="s">
        <v>75</v>
      </c>
      <c r="D30" s="13" t="s">
        <v>76</v>
      </c>
      <c r="E30" s="8"/>
      <c r="F30" s="7"/>
      <c r="G30" s="9" t="s">
        <v>26</v>
      </c>
      <c r="H30" s="10">
        <f>IF(E30="Compliant",1,IF(E30="Trending Down",0.5,IF(E30="N/A",0.5,0)))</f>
        <v>0</v>
      </c>
    </row>
    <row r="31" spans="1:8" ht="21.75" customHeight="1" x14ac:dyDescent="0.35">
      <c r="A31" s="28" t="s">
        <v>77</v>
      </c>
      <c r="B31" s="28"/>
      <c r="C31" s="28"/>
      <c r="D31" s="28"/>
      <c r="E31" s="28"/>
      <c r="F31" s="28"/>
      <c r="G31" s="28"/>
      <c r="H31" s="28"/>
    </row>
    <row r="32" spans="1:8" ht="36" customHeight="1" x14ac:dyDescent="0.35">
      <c r="A32" s="5">
        <v>19</v>
      </c>
      <c r="B32" s="6" t="s">
        <v>78</v>
      </c>
      <c r="C32" s="7" t="s">
        <v>79</v>
      </c>
      <c r="D32" s="7" t="s">
        <v>80</v>
      </c>
      <c r="E32" s="8"/>
      <c r="F32" s="7"/>
      <c r="G32" s="14" t="s">
        <v>32</v>
      </c>
      <c r="H32" s="10">
        <f>IF(E32="Compliant",1,IF(E32="Trending Down",0.5,IF(E32="N/A",0.5,0)))</f>
        <v>0</v>
      </c>
    </row>
    <row r="33" spans="1:8" ht="36" customHeight="1" x14ac:dyDescent="0.35">
      <c r="A33" s="11">
        <v>20</v>
      </c>
      <c r="B33" s="12" t="s">
        <v>81</v>
      </c>
      <c r="C33" s="13" t="s">
        <v>82</v>
      </c>
      <c r="D33" s="13" t="s">
        <v>83</v>
      </c>
      <c r="E33" s="8"/>
      <c r="F33" s="7"/>
      <c r="G33" s="14" t="s">
        <v>32</v>
      </c>
      <c r="H33" s="10">
        <f>IF(E33="Compliant",1,IF(E33="Trending Down",0.5,IF(E33="N/A",0.5,0)))</f>
        <v>0</v>
      </c>
    </row>
    <row r="34" spans="1:8" ht="36" customHeight="1" x14ac:dyDescent="0.35">
      <c r="A34" s="5">
        <v>21</v>
      </c>
      <c r="B34" s="6" t="s">
        <v>84</v>
      </c>
      <c r="C34" s="7" t="s">
        <v>85</v>
      </c>
      <c r="D34" s="7" t="s">
        <v>86</v>
      </c>
      <c r="E34" s="8"/>
      <c r="F34" s="7"/>
      <c r="G34" s="14" t="s">
        <v>32</v>
      </c>
      <c r="H34" s="10">
        <f>IF(E34="Compliant",1,IF(E34="Trending Down",0.5,IF(E34="N/A",0.5,0)))</f>
        <v>0</v>
      </c>
    </row>
    <row r="35" spans="1:8" ht="36" customHeight="1" x14ac:dyDescent="0.35">
      <c r="A35" s="11">
        <v>22</v>
      </c>
      <c r="B35" s="12" t="s">
        <v>87</v>
      </c>
      <c r="C35" s="13" t="s">
        <v>88</v>
      </c>
      <c r="D35" s="13" t="s">
        <v>89</v>
      </c>
      <c r="E35" s="8"/>
      <c r="F35" s="7"/>
      <c r="G35" s="14" t="s">
        <v>32</v>
      </c>
      <c r="H35" s="10">
        <f>IF(E35="Compliant",1,IF(E35="Trending Down",0.5,IF(E35="N/A",0.5,0)))</f>
        <v>0</v>
      </c>
    </row>
    <row r="36" spans="1:8" ht="21.75" customHeight="1" x14ac:dyDescent="0.35">
      <c r="A36" s="29" t="s">
        <v>90</v>
      </c>
      <c r="B36" s="29"/>
      <c r="C36" s="29"/>
      <c r="D36" s="29"/>
      <c r="E36" s="29"/>
      <c r="F36" s="29"/>
      <c r="G36" s="29"/>
      <c r="H36" s="29"/>
    </row>
    <row r="37" spans="1:8" ht="36" customHeight="1" x14ac:dyDescent="0.35">
      <c r="A37" s="5">
        <v>23</v>
      </c>
      <c r="B37" s="6" t="s">
        <v>254</v>
      </c>
      <c r="C37" s="7" t="s">
        <v>92</v>
      </c>
      <c r="D37" s="7" t="s">
        <v>93</v>
      </c>
      <c r="E37" s="8"/>
      <c r="F37" s="7"/>
      <c r="G37" s="9" t="s">
        <v>26</v>
      </c>
      <c r="H37" s="10">
        <f>IF(E37="Compliant",1,IF(E37="Trending Down",0.5,IF(E37="N/A",0.5,0)))</f>
        <v>0</v>
      </c>
    </row>
    <row r="38" spans="1:8" ht="36" customHeight="1" x14ac:dyDescent="0.35">
      <c r="A38" s="11">
        <v>24</v>
      </c>
      <c r="B38" s="6" t="s">
        <v>255</v>
      </c>
      <c r="C38" s="13" t="s">
        <v>95</v>
      </c>
      <c r="D38" s="13" t="s">
        <v>96</v>
      </c>
      <c r="E38" s="8"/>
      <c r="F38" s="7"/>
      <c r="G38" s="14" t="s">
        <v>32</v>
      </c>
      <c r="H38" s="10">
        <f>IF(E38="Compliant",1,IF(E38="Trending Down",0.5,IF(E38="N/A",0.5,0)))</f>
        <v>0</v>
      </c>
    </row>
    <row r="39" spans="1:8" ht="21.75" customHeight="1" x14ac:dyDescent="0.35">
      <c r="A39" s="30" t="s">
        <v>97</v>
      </c>
      <c r="B39" s="30"/>
      <c r="C39" s="30"/>
      <c r="D39" s="30"/>
      <c r="E39" s="30"/>
      <c r="F39" s="30"/>
      <c r="G39" s="30"/>
      <c r="H39" s="30"/>
    </row>
    <row r="40" spans="1:8" ht="36" customHeight="1" x14ac:dyDescent="0.35">
      <c r="A40" s="5">
        <v>25</v>
      </c>
      <c r="B40" s="6" t="s">
        <v>91</v>
      </c>
      <c r="C40" s="7" t="s">
        <v>99</v>
      </c>
      <c r="D40" s="7" t="s">
        <v>100</v>
      </c>
      <c r="E40" s="8"/>
      <c r="F40" s="7"/>
      <c r="G40" s="9" t="s">
        <v>26</v>
      </c>
      <c r="H40" s="10">
        <f>IF(E40="Compliant",1,IF(E40="Trending Down",0.5,IF(E40="N/A",0.5,0)))</f>
        <v>0</v>
      </c>
    </row>
    <row r="41" spans="1:8" ht="36" customHeight="1" x14ac:dyDescent="0.35">
      <c r="A41" s="11">
        <v>26</v>
      </c>
      <c r="B41" s="6" t="s">
        <v>94</v>
      </c>
      <c r="C41" s="13" t="s">
        <v>102</v>
      </c>
      <c r="D41" s="13" t="s">
        <v>103</v>
      </c>
      <c r="E41" s="8"/>
      <c r="F41" s="7"/>
      <c r="G41" s="9" t="s">
        <v>26</v>
      </c>
      <c r="H41" s="10">
        <f>IF(E41="Compliant",1,IF(E41="Trending Down",0.5,IF(E41="N/A",0.5,0)))</f>
        <v>0</v>
      </c>
    </row>
    <row r="42" spans="1:8" ht="21.75" customHeight="1" x14ac:dyDescent="0.35">
      <c r="A42" s="30" t="s">
        <v>104</v>
      </c>
      <c r="B42" s="30"/>
      <c r="C42" s="30"/>
      <c r="D42" s="30"/>
      <c r="E42" s="30"/>
      <c r="F42" s="30"/>
      <c r="G42" s="30"/>
      <c r="H42" s="30"/>
    </row>
    <row r="43" spans="1:8" ht="36" customHeight="1" x14ac:dyDescent="0.35">
      <c r="A43" s="5">
        <v>27</v>
      </c>
      <c r="B43" s="6" t="s">
        <v>98</v>
      </c>
      <c r="C43" s="7" t="s">
        <v>106</v>
      </c>
      <c r="D43" s="7" t="s">
        <v>107</v>
      </c>
      <c r="E43" s="8"/>
      <c r="F43" s="7"/>
      <c r="G43" s="9" t="s">
        <v>26</v>
      </c>
      <c r="H43" s="10">
        <f>IF(E43="Compliant",1,IF(E43="Trending Down",0.5,IF(E43="N/A",0.5,0)))</f>
        <v>0</v>
      </c>
    </row>
    <row r="44" spans="1:8" ht="36" customHeight="1" x14ac:dyDescent="0.35">
      <c r="A44" s="11">
        <v>28</v>
      </c>
      <c r="B44" s="6" t="s">
        <v>101</v>
      </c>
      <c r="C44" s="13" t="s">
        <v>109</v>
      </c>
      <c r="D44" s="13" t="s">
        <v>110</v>
      </c>
      <c r="E44" s="8"/>
      <c r="F44" s="7"/>
      <c r="G44" s="9" t="s">
        <v>26</v>
      </c>
      <c r="H44" s="10">
        <f>IF(E44="Compliant",1,IF(E44="Trending Down",0.5,IF(E44="N/A",0.5,0)))</f>
        <v>0</v>
      </c>
    </row>
    <row r="45" spans="1:8" ht="21.75" customHeight="1" x14ac:dyDescent="0.35">
      <c r="A45" s="37" t="s">
        <v>111</v>
      </c>
      <c r="B45" s="37"/>
      <c r="C45" s="37"/>
      <c r="D45" s="37"/>
      <c r="E45" s="37"/>
      <c r="F45" s="37"/>
      <c r="G45" s="37"/>
      <c r="H45" s="37"/>
    </row>
    <row r="46" spans="1:8" ht="36" customHeight="1" x14ac:dyDescent="0.35">
      <c r="A46" s="5">
        <v>29</v>
      </c>
      <c r="B46" s="6" t="s">
        <v>105</v>
      </c>
      <c r="C46" s="7" t="s">
        <v>113</v>
      </c>
      <c r="D46" s="7" t="s">
        <v>114</v>
      </c>
      <c r="E46" s="8"/>
      <c r="F46" s="7"/>
      <c r="G46" s="9" t="s">
        <v>26</v>
      </c>
      <c r="H46" s="10">
        <f>IF(E46="Compliant",1,IF(E46="Trending Down",0.5,IF(E46="N/A",0.5,0)))</f>
        <v>0</v>
      </c>
    </row>
    <row r="47" spans="1:8" ht="36" customHeight="1" x14ac:dyDescent="0.35">
      <c r="A47" s="11">
        <v>30</v>
      </c>
      <c r="B47" s="6" t="s">
        <v>108</v>
      </c>
      <c r="C47" s="13" t="s">
        <v>116</v>
      </c>
      <c r="D47" s="13" t="s">
        <v>117</v>
      </c>
      <c r="E47" s="8"/>
      <c r="F47" s="7"/>
      <c r="G47" s="9" t="s">
        <v>26</v>
      </c>
      <c r="H47" s="10">
        <f>IF(E47="Compliant",1,IF(E47="Trending Down",0.5,IF(E47="N/A",0.5,0)))</f>
        <v>0</v>
      </c>
    </row>
    <row r="48" spans="1:8" ht="21.75" customHeight="1" x14ac:dyDescent="0.35">
      <c r="A48" s="33" t="s">
        <v>118</v>
      </c>
      <c r="B48" s="33"/>
      <c r="C48" s="33"/>
      <c r="D48" s="33"/>
      <c r="E48" s="33"/>
      <c r="F48" s="33"/>
      <c r="G48" s="33"/>
      <c r="H48" s="33"/>
    </row>
    <row r="49" spans="1:8" ht="36" customHeight="1" x14ac:dyDescent="0.35">
      <c r="A49" s="5">
        <v>31</v>
      </c>
      <c r="B49" s="6" t="s">
        <v>112</v>
      </c>
      <c r="C49" s="7" t="s">
        <v>120</v>
      </c>
      <c r="D49" s="7" t="s">
        <v>121</v>
      </c>
      <c r="E49" s="8"/>
      <c r="F49" s="7"/>
      <c r="G49" s="9" t="s">
        <v>26</v>
      </c>
      <c r="H49" s="10">
        <f>IF(E49="Compliant",1,IF(E49="Trending Down",0.5,IF(E49="N/A",0.5,0)))</f>
        <v>0</v>
      </c>
    </row>
    <row r="50" spans="1:8" ht="36" customHeight="1" x14ac:dyDescent="0.35">
      <c r="A50" s="11">
        <v>32</v>
      </c>
      <c r="B50" s="6" t="s">
        <v>115</v>
      </c>
      <c r="C50" s="13" t="s">
        <v>123</v>
      </c>
      <c r="D50" s="13" t="s">
        <v>124</v>
      </c>
      <c r="E50" s="8"/>
      <c r="F50" s="7"/>
      <c r="G50" s="14" t="s">
        <v>32</v>
      </c>
      <c r="H50" s="10">
        <f>IF(E50="Compliant",1,IF(E50="Trending Down",0.5,IF(E50="N/A",0.5,0)))</f>
        <v>0</v>
      </c>
    </row>
    <row r="51" spans="1:8" ht="21.75" customHeight="1" x14ac:dyDescent="0.35">
      <c r="A51" s="32" t="s">
        <v>125</v>
      </c>
      <c r="B51" s="32"/>
      <c r="C51" s="32"/>
      <c r="D51" s="32"/>
      <c r="E51" s="32"/>
      <c r="F51" s="32"/>
      <c r="G51" s="32"/>
      <c r="H51" s="32"/>
    </row>
    <row r="52" spans="1:8" ht="36" customHeight="1" x14ac:dyDescent="0.35">
      <c r="A52" s="5">
        <v>33</v>
      </c>
      <c r="B52" s="6" t="s">
        <v>119</v>
      </c>
      <c r="C52" s="7" t="s">
        <v>253</v>
      </c>
      <c r="D52" s="7" t="s">
        <v>127</v>
      </c>
      <c r="E52" s="8"/>
      <c r="F52" s="7"/>
      <c r="G52" s="14" t="s">
        <v>32</v>
      </c>
      <c r="H52" s="10">
        <f>IF(E52="Compliant",1,IF(E52="Trending Down",0.5,IF(E52="N/A",0.5,0)))</f>
        <v>0</v>
      </c>
    </row>
    <row r="53" spans="1:8" ht="36" customHeight="1" x14ac:dyDescent="0.35">
      <c r="A53" s="11">
        <v>34</v>
      </c>
      <c r="B53" s="6" t="s">
        <v>122</v>
      </c>
      <c r="C53" s="13" t="s">
        <v>129</v>
      </c>
      <c r="D53" s="13" t="s">
        <v>130</v>
      </c>
      <c r="E53" s="8"/>
      <c r="F53" s="7"/>
      <c r="G53" s="14" t="s">
        <v>32</v>
      </c>
      <c r="H53" s="10">
        <f>IF(E53="Compliant",1,IF(E53="Trending Down",0.5,IF(E53="N/A",0.5,0)))</f>
        <v>0</v>
      </c>
    </row>
    <row r="54" spans="1:8" ht="36" customHeight="1" x14ac:dyDescent="0.35">
      <c r="A54" s="5">
        <v>35</v>
      </c>
      <c r="B54" s="6" t="s">
        <v>126</v>
      </c>
      <c r="C54" s="7" t="s">
        <v>132</v>
      </c>
      <c r="D54" s="7" t="s">
        <v>133</v>
      </c>
      <c r="E54" s="8"/>
      <c r="F54" s="7"/>
      <c r="G54" s="14" t="s">
        <v>32</v>
      </c>
      <c r="H54" s="10">
        <f>IF(E54="Compliant",1,IF(E54="Trending Down",0.5,IF(E54="N/A",0.5,0)))</f>
        <v>0</v>
      </c>
    </row>
    <row r="55" spans="1:8" ht="21.75" customHeight="1" x14ac:dyDescent="0.35">
      <c r="A55" s="29" t="s">
        <v>134</v>
      </c>
      <c r="B55" s="29"/>
      <c r="C55" s="29"/>
      <c r="D55" s="29"/>
      <c r="E55" s="29"/>
      <c r="F55" s="29"/>
      <c r="G55" s="29"/>
      <c r="H55" s="29"/>
    </row>
    <row r="56" spans="1:8" ht="36" customHeight="1" x14ac:dyDescent="0.35">
      <c r="A56" s="11">
        <v>36</v>
      </c>
      <c r="B56" s="12" t="s">
        <v>128</v>
      </c>
      <c r="C56" s="13" t="s">
        <v>135</v>
      </c>
      <c r="D56" s="13" t="s">
        <v>136</v>
      </c>
      <c r="E56" s="8"/>
      <c r="F56" s="7"/>
      <c r="G56" s="9" t="s">
        <v>26</v>
      </c>
      <c r="H56" s="10">
        <f>IF(E56="Compliant",1,IF(E56="Trending Down",0.5,IF(E56="N/A",0.5,0)))</f>
        <v>0</v>
      </c>
    </row>
    <row r="57" spans="1:8" ht="36" customHeight="1" x14ac:dyDescent="0.35">
      <c r="A57" s="5">
        <v>37</v>
      </c>
      <c r="B57" s="12" t="s">
        <v>131</v>
      </c>
      <c r="C57" s="7" t="s">
        <v>137</v>
      </c>
      <c r="D57" s="7" t="s">
        <v>138</v>
      </c>
      <c r="E57" s="8"/>
      <c r="F57" s="7"/>
      <c r="G57" s="9" t="s">
        <v>26</v>
      </c>
      <c r="H57" s="10">
        <f>IF(E57="Compliant",1,IF(E57="Trending Down",0.5,IF(E57="N/A",0.5,0)))</f>
        <v>0</v>
      </c>
    </row>
    <row r="59" spans="1:8" ht="24" customHeight="1" x14ac:dyDescent="0.35">
      <c r="A59" s="38" t="s">
        <v>139</v>
      </c>
      <c r="B59" s="38"/>
      <c r="C59" s="38"/>
      <c r="D59" s="38"/>
      <c r="E59" s="15" t="s">
        <v>140</v>
      </c>
      <c r="F59" s="15" t="s">
        <v>141</v>
      </c>
      <c r="G59" s="15" t="s">
        <v>142</v>
      </c>
      <c r="H59" s="15" t="s">
        <v>143</v>
      </c>
    </row>
    <row r="60" spans="1:8" ht="30" customHeight="1" x14ac:dyDescent="0.35">
      <c r="A60" s="34" t="s">
        <v>144</v>
      </c>
      <c r="B60" s="34"/>
      <c r="C60" s="34"/>
      <c r="D60" s="34"/>
      <c r="E60" s="16">
        <f>COUNTIF(E9:E57,"Compliant")</f>
        <v>0</v>
      </c>
      <c r="F60" s="17">
        <f>COUNTIF(E9:E57,"Non-Compliant")</f>
        <v>0</v>
      </c>
      <c r="G60" s="18">
        <f>SUM(H9:H57)/39</f>
        <v>0</v>
      </c>
      <c r="H60" s="10" t="str">
        <f>IF(G60&gt;=0.95,"FULLY COMPLIANT",IF(G60&gt;=0.85,"MINOR ATTENTION",IF(G60&gt;=0.7,"HIGH ATTENTION","CRITICAL RISK")))</f>
        <v>CRITICAL RISK</v>
      </c>
    </row>
    <row r="62" spans="1:8" ht="24" customHeight="1" x14ac:dyDescent="0.35">
      <c r="A62" s="35" t="s">
        <v>145</v>
      </c>
      <c r="B62" s="35"/>
      <c r="C62" s="35"/>
      <c r="D62" s="35"/>
      <c r="E62" s="35"/>
      <c r="F62" s="35"/>
      <c r="G62" s="35"/>
      <c r="H62" s="35"/>
    </row>
    <row r="63" spans="1:8" ht="18" customHeight="1" x14ac:dyDescent="0.35">
      <c r="A63" s="19" t="s">
        <v>146</v>
      </c>
      <c r="B63" s="19" t="s">
        <v>147</v>
      </c>
      <c r="C63" s="19" t="s">
        <v>148</v>
      </c>
      <c r="D63" s="19" t="s">
        <v>149</v>
      </c>
      <c r="E63" s="19" t="s">
        <v>150</v>
      </c>
      <c r="F63" s="19" t="s">
        <v>151</v>
      </c>
      <c r="G63" s="19" t="s">
        <v>152</v>
      </c>
      <c r="H63" s="19" t="s">
        <v>153</v>
      </c>
    </row>
    <row r="64" spans="1:8" ht="31.5" customHeight="1" x14ac:dyDescent="0.35">
      <c r="A64" s="1"/>
      <c r="B64" s="1"/>
      <c r="C64" s="1"/>
      <c r="D64" s="1"/>
      <c r="E64" s="1"/>
      <c r="F64" s="1"/>
      <c r="G64" s="1"/>
      <c r="H64" s="1"/>
    </row>
    <row r="65" spans="1:8" ht="18" customHeight="1" x14ac:dyDescent="0.35">
      <c r="A65" s="19" t="s">
        <v>154</v>
      </c>
      <c r="B65" s="19" t="s">
        <v>155</v>
      </c>
      <c r="C65" s="19" t="s">
        <v>156</v>
      </c>
      <c r="D65" s="19" t="s">
        <v>157</v>
      </c>
      <c r="E65" s="19" t="s">
        <v>158</v>
      </c>
      <c r="F65" s="19" t="s">
        <v>159</v>
      </c>
      <c r="G65" s="19" t="s">
        <v>160</v>
      </c>
      <c r="H65" s="19" t="s">
        <v>161</v>
      </c>
    </row>
    <row r="66" spans="1:8" ht="31.5" customHeight="1" x14ac:dyDescent="0.35">
      <c r="A66" s="1"/>
      <c r="B66" s="1"/>
      <c r="C66" s="1"/>
      <c r="D66" s="1"/>
      <c r="E66" s="1"/>
      <c r="F66" s="1"/>
      <c r="G66" s="1"/>
      <c r="H66" s="1"/>
    </row>
    <row r="68" spans="1:8" ht="15" customHeight="1" x14ac:dyDescent="0.35">
      <c r="A68" s="36" t="s">
        <v>162</v>
      </c>
      <c r="B68" s="36"/>
      <c r="C68" s="36"/>
      <c r="D68" s="36"/>
      <c r="E68" s="36"/>
      <c r="F68" s="36"/>
      <c r="G68" s="36"/>
      <c r="H68" s="36"/>
    </row>
  </sheetData>
  <mergeCells count="22">
    <mergeCell ref="A60:D60"/>
    <mergeCell ref="A62:H62"/>
    <mergeCell ref="A68:H68"/>
    <mergeCell ref="A45:H45"/>
    <mergeCell ref="A48:H48"/>
    <mergeCell ref="A51:H51"/>
    <mergeCell ref="A55:H55"/>
    <mergeCell ref="A59:D59"/>
    <mergeCell ref="A31:H31"/>
    <mergeCell ref="A36:H36"/>
    <mergeCell ref="A39:H39"/>
    <mergeCell ref="A42:H42"/>
    <mergeCell ref="A8:H8"/>
    <mergeCell ref="A12:H12"/>
    <mergeCell ref="A16:H16"/>
    <mergeCell ref="A21:H21"/>
    <mergeCell ref="A26:H26"/>
    <mergeCell ref="A1:H1"/>
    <mergeCell ref="A2:H2"/>
    <mergeCell ref="B3:C3"/>
    <mergeCell ref="B4:C4"/>
    <mergeCell ref="B5:C5"/>
  </mergeCells>
  <phoneticPr fontId="17" type="noConversion"/>
  <conditionalFormatting sqref="E8:E57">
    <cfRule type="cellIs" dxfId="14" priority="2" operator="equal">
      <formula>"Compliant"</formula>
    </cfRule>
    <cfRule type="cellIs" dxfId="13" priority="3" operator="equal">
      <formula>"Non-Compliant"</formula>
    </cfRule>
    <cfRule type="cellIs" dxfId="12" priority="4" operator="equal">
      <formula>"N/A"</formula>
    </cfRule>
    <cfRule type="cellIs" dxfId="11" priority="5" operator="equal">
      <formula>"Trending Down"</formula>
    </cfRule>
  </conditionalFormatting>
  <conditionalFormatting sqref="H60">
    <cfRule type="expression" dxfId="10" priority="6">
      <formula>H60="FULLY COMPLIANT"</formula>
    </cfRule>
    <cfRule type="expression" dxfId="9" priority="7">
      <formula>H60="HIGH ATTENTION"</formula>
    </cfRule>
    <cfRule type="expression" dxfId="8" priority="8">
      <formula>H60="CRITICAL RISK"</formula>
    </cfRule>
  </conditionalFormatting>
  <dataValidations count="1">
    <dataValidation type="list" allowBlank="1" sqref="E9:E57" xr:uid="{00000000-0002-0000-0000-000000000000}">
      <formula1>"Compliant,Non-Compliant,N/A,Trending Down"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8"/>
  <sheetViews>
    <sheetView showGridLines="0" zoomScaleNormal="100" workbookViewId="0">
      <selection activeCell="E45" sqref="E45"/>
    </sheetView>
  </sheetViews>
  <sheetFormatPr defaultColWidth="8.54296875" defaultRowHeight="14.5" x14ac:dyDescent="0.35"/>
  <cols>
    <col min="1" max="1" width="5" customWidth="1"/>
    <col min="2" max="2" width="8" customWidth="1"/>
    <col min="3" max="3" width="30" customWidth="1"/>
    <col min="4" max="4" width="20" customWidth="1"/>
    <col min="5" max="9" width="18" customWidth="1"/>
    <col min="10" max="10" width="16" customWidth="1"/>
    <col min="11" max="11" width="14" customWidth="1"/>
  </cols>
  <sheetData>
    <row r="1" spans="1:11" ht="43.5" customHeight="1" x14ac:dyDescent="0.35">
      <c r="A1" s="25" t="s">
        <v>163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9.5" customHeight="1" x14ac:dyDescent="0.35">
      <c r="A2" s="26" t="s">
        <v>164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4" spans="1:11" ht="27.75" customHeight="1" x14ac:dyDescent="0.35">
      <c r="A4" s="4" t="s">
        <v>14</v>
      </c>
      <c r="B4" s="4" t="s">
        <v>165</v>
      </c>
      <c r="C4" s="4" t="s">
        <v>166</v>
      </c>
      <c r="D4" s="4" t="s">
        <v>167</v>
      </c>
      <c r="E4" s="4" t="s">
        <v>168</v>
      </c>
      <c r="F4" s="4" t="s">
        <v>169</v>
      </c>
      <c r="G4" s="4" t="s">
        <v>170</v>
      </c>
      <c r="H4" s="4" t="s">
        <v>171</v>
      </c>
      <c r="I4" s="4" t="s">
        <v>172</v>
      </c>
      <c r="J4" s="4" t="s">
        <v>143</v>
      </c>
      <c r="K4" s="4" t="s">
        <v>173</v>
      </c>
    </row>
    <row r="5" spans="1:11" ht="21.75" customHeight="1" x14ac:dyDescent="0.35">
      <c r="A5" s="20">
        <v>1</v>
      </c>
      <c r="B5" s="20">
        <v>30001</v>
      </c>
      <c r="C5" s="7" t="s">
        <v>174</v>
      </c>
      <c r="D5" s="7" t="s">
        <v>175</v>
      </c>
      <c r="E5" s="7" t="s">
        <v>176</v>
      </c>
      <c r="F5" s="20"/>
      <c r="G5" s="20"/>
      <c r="H5" s="20"/>
      <c r="I5" s="20"/>
      <c r="J5" s="20"/>
      <c r="K5" s="20"/>
    </row>
    <row r="6" spans="1:11" ht="21.75" customHeight="1" x14ac:dyDescent="0.35">
      <c r="A6" s="21">
        <v>2</v>
      </c>
      <c r="B6" s="21">
        <v>30012</v>
      </c>
      <c r="C6" s="13" t="s">
        <v>177</v>
      </c>
      <c r="D6" s="13" t="s">
        <v>175</v>
      </c>
      <c r="E6" s="13" t="s">
        <v>176</v>
      </c>
      <c r="F6" s="21"/>
      <c r="G6" s="21"/>
      <c r="H6" s="21"/>
      <c r="I6" s="21"/>
      <c r="J6" s="21"/>
      <c r="K6" s="21"/>
    </row>
    <row r="7" spans="1:11" ht="21.75" customHeight="1" x14ac:dyDescent="0.35">
      <c r="A7" s="20">
        <v>3</v>
      </c>
      <c r="B7" s="20">
        <v>30013</v>
      </c>
      <c r="C7" s="7" t="s">
        <v>178</v>
      </c>
      <c r="D7" s="7" t="s">
        <v>175</v>
      </c>
      <c r="E7" s="7" t="s">
        <v>176</v>
      </c>
      <c r="F7" s="20"/>
      <c r="G7" s="20"/>
      <c r="H7" s="20"/>
      <c r="I7" s="20"/>
      <c r="J7" s="20"/>
      <c r="K7" s="20"/>
    </row>
    <row r="8" spans="1:11" ht="21.75" customHeight="1" x14ac:dyDescent="0.35">
      <c r="A8" s="21">
        <v>4</v>
      </c>
      <c r="B8" s="21">
        <v>30014</v>
      </c>
      <c r="C8" s="13" t="s">
        <v>179</v>
      </c>
      <c r="D8" s="13" t="s">
        <v>175</v>
      </c>
      <c r="E8" s="13" t="s">
        <v>176</v>
      </c>
      <c r="F8" s="21"/>
      <c r="G8" s="21"/>
      <c r="H8" s="21"/>
      <c r="I8" s="21"/>
      <c r="J8" s="21"/>
      <c r="K8" s="21"/>
    </row>
    <row r="9" spans="1:11" ht="21.75" customHeight="1" x14ac:dyDescent="0.35">
      <c r="A9" s="20">
        <v>5</v>
      </c>
      <c r="B9" s="20">
        <v>30015</v>
      </c>
      <c r="C9" s="7" t="s">
        <v>180</v>
      </c>
      <c r="D9" s="7" t="s">
        <v>181</v>
      </c>
      <c r="E9" s="7" t="s">
        <v>176</v>
      </c>
      <c r="F9" s="20"/>
      <c r="G9" s="20"/>
      <c r="H9" s="20"/>
      <c r="I9" s="20"/>
      <c r="J9" s="20"/>
      <c r="K9" s="20"/>
    </row>
    <row r="10" spans="1:11" ht="21.75" customHeight="1" x14ac:dyDescent="0.35">
      <c r="A10" s="21">
        <v>6</v>
      </c>
      <c r="B10" s="21">
        <v>30026</v>
      </c>
      <c r="C10" s="13" t="s">
        <v>182</v>
      </c>
      <c r="D10" s="13" t="s">
        <v>175</v>
      </c>
      <c r="E10" s="13" t="s">
        <v>176</v>
      </c>
      <c r="F10" s="21"/>
      <c r="G10" s="21"/>
      <c r="H10" s="21"/>
      <c r="I10" s="21"/>
      <c r="J10" s="21"/>
      <c r="K10" s="21"/>
    </row>
    <row r="11" spans="1:11" ht="21.75" customHeight="1" x14ac:dyDescent="0.35">
      <c r="A11" s="20">
        <v>7</v>
      </c>
      <c r="B11" s="20">
        <v>40006</v>
      </c>
      <c r="C11" s="7" t="s">
        <v>183</v>
      </c>
      <c r="D11" s="7" t="s">
        <v>181</v>
      </c>
      <c r="E11" s="7" t="s">
        <v>176</v>
      </c>
      <c r="F11" s="20"/>
      <c r="G11" s="20"/>
      <c r="H11" s="20"/>
      <c r="I11" s="20"/>
      <c r="J11" s="20"/>
      <c r="K11" s="20"/>
    </row>
    <row r="12" spans="1:11" ht="21.75" customHeight="1" x14ac:dyDescent="0.35">
      <c r="A12" s="21">
        <v>8</v>
      </c>
      <c r="B12" s="21">
        <v>40009</v>
      </c>
      <c r="C12" s="13" t="s">
        <v>184</v>
      </c>
      <c r="D12" s="13" t="s">
        <v>181</v>
      </c>
      <c r="E12" s="13" t="s">
        <v>176</v>
      </c>
      <c r="F12" s="21"/>
      <c r="G12" s="21"/>
      <c r="H12" s="21"/>
      <c r="I12" s="21"/>
      <c r="J12" s="21"/>
      <c r="K12" s="21"/>
    </row>
    <row r="13" spans="1:11" ht="21.75" customHeight="1" x14ac:dyDescent="0.35">
      <c r="A13" s="20">
        <v>9</v>
      </c>
      <c r="B13" s="20">
        <v>60001</v>
      </c>
      <c r="C13" s="7" t="s">
        <v>185</v>
      </c>
      <c r="D13" s="7" t="s">
        <v>186</v>
      </c>
      <c r="E13" s="7" t="s">
        <v>187</v>
      </c>
      <c r="F13" s="20"/>
      <c r="G13" s="20"/>
      <c r="H13" s="20"/>
      <c r="I13" s="20"/>
      <c r="J13" s="20"/>
      <c r="K13" s="20"/>
    </row>
    <row r="14" spans="1:11" ht="21.75" customHeight="1" x14ac:dyDescent="0.35">
      <c r="A14" s="21">
        <v>10</v>
      </c>
      <c r="B14" s="21">
        <v>60039</v>
      </c>
      <c r="C14" s="13" t="s">
        <v>188</v>
      </c>
      <c r="D14" s="13" t="s">
        <v>186</v>
      </c>
      <c r="E14" s="13" t="s">
        <v>187</v>
      </c>
      <c r="F14" s="21"/>
      <c r="G14" s="21"/>
      <c r="H14" s="21"/>
      <c r="I14" s="21"/>
      <c r="J14" s="21"/>
      <c r="K14" s="21"/>
    </row>
    <row r="15" spans="1:11" ht="21.75" customHeight="1" x14ac:dyDescent="0.35">
      <c r="A15" s="20">
        <v>11</v>
      </c>
      <c r="B15" s="20">
        <v>70002</v>
      </c>
      <c r="C15" s="7" t="s">
        <v>189</v>
      </c>
      <c r="D15" s="7" t="s">
        <v>186</v>
      </c>
      <c r="E15" s="7" t="s">
        <v>187</v>
      </c>
      <c r="F15" s="20"/>
      <c r="G15" s="20"/>
      <c r="H15" s="20"/>
      <c r="I15" s="20"/>
      <c r="J15" s="20"/>
      <c r="K15" s="20"/>
    </row>
    <row r="16" spans="1:11" ht="21.75" customHeight="1" x14ac:dyDescent="0.35">
      <c r="A16" s="21">
        <v>12</v>
      </c>
      <c r="B16" s="21">
        <v>70003</v>
      </c>
      <c r="C16" s="13" t="s">
        <v>190</v>
      </c>
      <c r="D16" s="13" t="s">
        <v>186</v>
      </c>
      <c r="E16" s="13" t="s">
        <v>187</v>
      </c>
      <c r="F16" s="21"/>
      <c r="G16" s="21"/>
      <c r="H16" s="21"/>
      <c r="I16" s="21"/>
      <c r="J16" s="21"/>
      <c r="K16" s="21"/>
    </row>
    <row r="17" spans="1:11" ht="21.75" customHeight="1" x14ac:dyDescent="0.35">
      <c r="A17" s="20">
        <v>13</v>
      </c>
      <c r="B17" s="20">
        <v>70004</v>
      </c>
      <c r="C17" s="7" t="s">
        <v>191</v>
      </c>
      <c r="D17" s="7" t="s">
        <v>192</v>
      </c>
      <c r="E17" s="7" t="s">
        <v>187</v>
      </c>
      <c r="F17" s="20"/>
      <c r="G17" s="20"/>
      <c r="H17" s="20"/>
      <c r="I17" s="20"/>
      <c r="J17" s="20"/>
      <c r="K17" s="20"/>
    </row>
    <row r="18" spans="1:11" ht="21.75" customHeight="1" x14ac:dyDescent="0.35">
      <c r="A18" s="21">
        <v>14</v>
      </c>
      <c r="B18" s="21">
        <v>70005</v>
      </c>
      <c r="C18" s="13" t="s">
        <v>193</v>
      </c>
      <c r="D18" s="13" t="s">
        <v>192</v>
      </c>
      <c r="E18" s="13" t="s">
        <v>187</v>
      </c>
      <c r="F18" s="21"/>
      <c r="G18" s="21"/>
      <c r="H18" s="21"/>
      <c r="I18" s="21"/>
      <c r="J18" s="21"/>
      <c r="K18" s="21"/>
    </row>
    <row r="19" spans="1:11" ht="21.75" customHeight="1" x14ac:dyDescent="0.35">
      <c r="A19" s="20">
        <v>15</v>
      </c>
      <c r="B19" s="20">
        <v>70008</v>
      </c>
      <c r="C19" s="7" t="s">
        <v>194</v>
      </c>
      <c r="D19" s="7" t="s">
        <v>195</v>
      </c>
      <c r="E19" s="7" t="s">
        <v>187</v>
      </c>
      <c r="F19" s="20"/>
      <c r="G19" s="20"/>
      <c r="H19" s="20"/>
      <c r="I19" s="20"/>
      <c r="J19" s="20"/>
      <c r="K19" s="20"/>
    </row>
    <row r="20" spans="1:11" ht="21.75" customHeight="1" x14ac:dyDescent="0.35">
      <c r="A20" s="21">
        <v>16</v>
      </c>
      <c r="B20" s="21">
        <v>70010</v>
      </c>
      <c r="C20" s="13" t="s">
        <v>196</v>
      </c>
      <c r="D20" s="13" t="s">
        <v>192</v>
      </c>
      <c r="E20" s="13" t="s">
        <v>187</v>
      </c>
      <c r="F20" s="21"/>
      <c r="G20" s="21"/>
      <c r="H20" s="21"/>
      <c r="I20" s="21"/>
      <c r="J20" s="21"/>
      <c r="K20" s="21"/>
    </row>
    <row r="21" spans="1:11" ht="21.75" customHeight="1" x14ac:dyDescent="0.35">
      <c r="A21" s="20">
        <v>17</v>
      </c>
      <c r="B21" s="20">
        <v>70017</v>
      </c>
      <c r="C21" s="7" t="s">
        <v>197</v>
      </c>
      <c r="D21" s="7" t="s">
        <v>186</v>
      </c>
      <c r="E21" s="7" t="s">
        <v>187</v>
      </c>
      <c r="F21" s="20"/>
      <c r="G21" s="20"/>
      <c r="H21" s="20"/>
      <c r="I21" s="20"/>
      <c r="J21" s="20"/>
      <c r="K21" s="20"/>
    </row>
    <row r="22" spans="1:11" ht="21.75" customHeight="1" x14ac:dyDescent="0.35">
      <c r="A22" s="21">
        <v>18</v>
      </c>
      <c r="B22" s="21">
        <v>70023</v>
      </c>
      <c r="C22" s="13" t="s">
        <v>198</v>
      </c>
      <c r="D22" s="13" t="s">
        <v>186</v>
      </c>
      <c r="E22" s="13" t="s">
        <v>187</v>
      </c>
      <c r="F22" s="21"/>
      <c r="G22" s="21"/>
      <c r="H22" s="21"/>
      <c r="I22" s="21"/>
      <c r="J22" s="21"/>
      <c r="K22" s="21"/>
    </row>
    <row r="23" spans="1:11" ht="21.75" customHeight="1" x14ac:dyDescent="0.35">
      <c r="A23" s="20">
        <v>19</v>
      </c>
      <c r="B23" s="20">
        <v>70024</v>
      </c>
      <c r="C23" s="7" t="s">
        <v>199</v>
      </c>
      <c r="D23" s="7" t="s">
        <v>195</v>
      </c>
      <c r="E23" s="7" t="s">
        <v>187</v>
      </c>
      <c r="F23" s="20"/>
      <c r="G23" s="20"/>
      <c r="H23" s="20"/>
      <c r="I23" s="20"/>
      <c r="J23" s="20"/>
      <c r="K23" s="20"/>
    </row>
    <row r="24" spans="1:11" ht="21.75" customHeight="1" x14ac:dyDescent="0.35">
      <c r="A24" s="21">
        <v>20</v>
      </c>
      <c r="B24" s="21">
        <v>70046</v>
      </c>
      <c r="C24" s="13" t="s">
        <v>200</v>
      </c>
      <c r="D24" s="13" t="s">
        <v>195</v>
      </c>
      <c r="E24" s="13" t="s">
        <v>187</v>
      </c>
      <c r="F24" s="21"/>
      <c r="G24" s="21"/>
      <c r="H24" s="21"/>
      <c r="I24" s="21"/>
      <c r="J24" s="21"/>
      <c r="K24" s="21"/>
    </row>
    <row r="25" spans="1:11" ht="21.75" customHeight="1" x14ac:dyDescent="0.35">
      <c r="A25" s="20">
        <v>21</v>
      </c>
      <c r="B25" s="20">
        <v>90007</v>
      </c>
      <c r="C25" s="7" t="s">
        <v>201</v>
      </c>
      <c r="D25" s="7" t="s">
        <v>192</v>
      </c>
      <c r="E25" s="7" t="s">
        <v>187</v>
      </c>
      <c r="F25" s="20"/>
      <c r="G25" s="20"/>
      <c r="H25" s="20"/>
      <c r="I25" s="20"/>
      <c r="J25" s="20"/>
      <c r="K25" s="20"/>
    </row>
    <row r="26" spans="1:11" ht="21.75" customHeight="1" x14ac:dyDescent="0.35">
      <c r="A26" s="21">
        <v>22</v>
      </c>
      <c r="B26" s="21">
        <v>240037</v>
      </c>
      <c r="C26" s="13" t="s">
        <v>202</v>
      </c>
      <c r="D26" s="13" t="s">
        <v>203</v>
      </c>
      <c r="E26" s="13" t="s">
        <v>204</v>
      </c>
      <c r="F26" s="21"/>
      <c r="G26" s="21"/>
      <c r="H26" s="21"/>
      <c r="I26" s="21"/>
      <c r="J26" s="21"/>
      <c r="K26" s="21"/>
    </row>
    <row r="27" spans="1:11" ht="21.75" customHeight="1" x14ac:dyDescent="0.35">
      <c r="A27" s="20">
        <v>23</v>
      </c>
      <c r="B27" s="20">
        <v>240041</v>
      </c>
      <c r="C27" s="7" t="s">
        <v>205</v>
      </c>
      <c r="D27" s="7" t="s">
        <v>203</v>
      </c>
      <c r="E27" s="7" t="s">
        <v>204</v>
      </c>
      <c r="F27" s="20"/>
      <c r="G27" s="20"/>
      <c r="H27" s="20"/>
      <c r="I27" s="20"/>
      <c r="J27" s="20"/>
      <c r="K27" s="20"/>
    </row>
    <row r="28" spans="1:11" ht="21.75" customHeight="1" x14ac:dyDescent="0.35">
      <c r="A28" s="21">
        <v>24</v>
      </c>
      <c r="B28" s="21">
        <v>240042</v>
      </c>
      <c r="C28" s="13" t="s">
        <v>206</v>
      </c>
      <c r="D28" s="13" t="s">
        <v>203</v>
      </c>
      <c r="E28" s="13" t="s">
        <v>204</v>
      </c>
      <c r="F28" s="21"/>
      <c r="G28" s="21"/>
      <c r="H28" s="21"/>
      <c r="I28" s="21"/>
      <c r="J28" s="21"/>
      <c r="K28" s="21"/>
    </row>
    <row r="29" spans="1:11" ht="21.75" customHeight="1" x14ac:dyDescent="0.35">
      <c r="A29" s="20">
        <v>25</v>
      </c>
      <c r="B29" s="20">
        <v>270018</v>
      </c>
      <c r="C29" s="7" t="s">
        <v>207</v>
      </c>
      <c r="D29" s="7" t="s">
        <v>208</v>
      </c>
      <c r="E29" s="7" t="s">
        <v>209</v>
      </c>
      <c r="F29" s="20"/>
      <c r="G29" s="20"/>
      <c r="H29" s="20"/>
      <c r="I29" s="20"/>
      <c r="J29" s="20"/>
      <c r="K29" s="20"/>
    </row>
    <row r="30" spans="1:11" ht="21.75" customHeight="1" x14ac:dyDescent="0.35">
      <c r="A30" s="21">
        <v>26</v>
      </c>
      <c r="B30" s="21">
        <v>270019</v>
      </c>
      <c r="C30" s="13" t="s">
        <v>210</v>
      </c>
      <c r="D30" s="13" t="s">
        <v>208</v>
      </c>
      <c r="E30" s="13" t="s">
        <v>209</v>
      </c>
      <c r="F30" s="21"/>
      <c r="G30" s="21"/>
      <c r="H30" s="21"/>
      <c r="I30" s="21"/>
      <c r="J30" s="21"/>
      <c r="K30" s="21"/>
    </row>
    <row r="31" spans="1:11" ht="21.75" customHeight="1" x14ac:dyDescent="0.35">
      <c r="A31" s="20">
        <v>27</v>
      </c>
      <c r="B31" s="20">
        <v>270020</v>
      </c>
      <c r="C31" s="7" t="s">
        <v>211</v>
      </c>
      <c r="D31" s="7" t="s">
        <v>208</v>
      </c>
      <c r="E31" s="7" t="s">
        <v>209</v>
      </c>
      <c r="F31" s="20"/>
      <c r="G31" s="20"/>
      <c r="H31" s="20"/>
      <c r="I31" s="20"/>
      <c r="J31" s="20"/>
      <c r="K31" s="20"/>
    </row>
    <row r="32" spans="1:11" ht="21.75" customHeight="1" x14ac:dyDescent="0.35">
      <c r="A32" s="21">
        <v>28</v>
      </c>
      <c r="B32" s="21">
        <v>270025</v>
      </c>
      <c r="C32" s="13" t="s">
        <v>212</v>
      </c>
      <c r="D32" s="13" t="s">
        <v>208</v>
      </c>
      <c r="E32" s="13" t="s">
        <v>213</v>
      </c>
      <c r="F32" s="21"/>
      <c r="G32" s="21"/>
      <c r="H32" s="21"/>
      <c r="I32" s="21"/>
      <c r="J32" s="21"/>
      <c r="K32" s="21"/>
    </row>
    <row r="33" spans="1:11" ht="21.75" customHeight="1" x14ac:dyDescent="0.35">
      <c r="A33" s="20">
        <v>29</v>
      </c>
      <c r="B33" s="20">
        <v>270031</v>
      </c>
      <c r="C33" s="7" t="s">
        <v>214</v>
      </c>
      <c r="D33" s="7" t="s">
        <v>208</v>
      </c>
      <c r="E33" s="7" t="s">
        <v>213</v>
      </c>
      <c r="F33" s="20"/>
      <c r="G33" s="20"/>
      <c r="H33" s="20"/>
      <c r="I33" s="20"/>
      <c r="J33" s="20"/>
      <c r="K33" s="20"/>
    </row>
    <row r="34" spans="1:11" ht="21.75" customHeight="1" x14ac:dyDescent="0.35">
      <c r="A34" s="21">
        <v>30</v>
      </c>
      <c r="B34" s="21">
        <v>270032</v>
      </c>
      <c r="C34" s="13" t="s">
        <v>215</v>
      </c>
      <c r="D34" s="13" t="s">
        <v>216</v>
      </c>
      <c r="E34" s="13" t="s">
        <v>217</v>
      </c>
      <c r="F34" s="21"/>
      <c r="G34" s="21"/>
      <c r="H34" s="21"/>
      <c r="I34" s="21"/>
      <c r="J34" s="21"/>
      <c r="K34" s="21"/>
    </row>
    <row r="35" spans="1:11" ht="21.75" customHeight="1" x14ac:dyDescent="0.35">
      <c r="A35" s="20">
        <v>31</v>
      </c>
      <c r="B35" s="20">
        <v>270033</v>
      </c>
      <c r="C35" s="7" t="s">
        <v>218</v>
      </c>
      <c r="D35" s="7" t="s">
        <v>208</v>
      </c>
      <c r="E35" s="7" t="s">
        <v>213</v>
      </c>
      <c r="F35" s="20"/>
      <c r="G35" s="20"/>
      <c r="H35" s="20"/>
      <c r="I35" s="20"/>
      <c r="J35" s="20"/>
      <c r="K35" s="20"/>
    </row>
    <row r="36" spans="1:11" ht="21.75" customHeight="1" x14ac:dyDescent="0.35">
      <c r="A36" s="21">
        <v>32</v>
      </c>
      <c r="B36" s="21">
        <v>270034</v>
      </c>
      <c r="C36" s="13" t="s">
        <v>219</v>
      </c>
      <c r="D36" s="13" t="s">
        <v>208</v>
      </c>
      <c r="E36" s="13" t="s">
        <v>213</v>
      </c>
      <c r="F36" s="21"/>
      <c r="G36" s="21"/>
      <c r="H36" s="21"/>
      <c r="I36" s="21"/>
      <c r="J36" s="21"/>
      <c r="K36" s="21"/>
    </row>
    <row r="37" spans="1:11" ht="21.75" customHeight="1" x14ac:dyDescent="0.35">
      <c r="A37" s="20">
        <v>33</v>
      </c>
      <c r="B37" s="20">
        <v>270038</v>
      </c>
      <c r="C37" s="7" t="s">
        <v>220</v>
      </c>
      <c r="D37" s="7" t="s">
        <v>216</v>
      </c>
      <c r="E37" s="7" t="s">
        <v>217</v>
      </c>
      <c r="F37" s="20"/>
      <c r="G37" s="20"/>
      <c r="H37" s="20"/>
      <c r="I37" s="20"/>
      <c r="J37" s="20"/>
      <c r="K37" s="20"/>
    </row>
    <row r="38" spans="1:11" ht="21.75" customHeight="1" x14ac:dyDescent="0.35">
      <c r="A38" s="21">
        <v>34</v>
      </c>
      <c r="B38" s="21">
        <v>270045</v>
      </c>
      <c r="C38" s="13" t="s">
        <v>221</v>
      </c>
      <c r="D38" s="13" t="s">
        <v>208</v>
      </c>
      <c r="E38" s="13" t="s">
        <v>209</v>
      </c>
      <c r="F38" s="21"/>
      <c r="G38" s="21"/>
      <c r="H38" s="21"/>
      <c r="I38" s="21"/>
      <c r="J38" s="21"/>
      <c r="K38" s="21"/>
    </row>
    <row r="39" spans="1:11" ht="21.75" customHeight="1" x14ac:dyDescent="0.35">
      <c r="A39" s="20">
        <v>35</v>
      </c>
      <c r="B39" s="20">
        <v>270048</v>
      </c>
      <c r="C39" s="7" t="s">
        <v>222</v>
      </c>
      <c r="D39" s="7" t="s">
        <v>216</v>
      </c>
      <c r="E39" s="7" t="s">
        <v>217</v>
      </c>
      <c r="F39" s="20"/>
      <c r="G39" s="20"/>
      <c r="H39" s="20"/>
      <c r="I39" s="20"/>
      <c r="J39" s="20"/>
      <c r="K39" s="20"/>
    </row>
    <row r="40" spans="1:11" ht="21.75" customHeight="1" x14ac:dyDescent="0.35">
      <c r="A40" s="21">
        <v>36</v>
      </c>
      <c r="B40" s="21">
        <v>270049</v>
      </c>
      <c r="C40" s="13" t="s">
        <v>223</v>
      </c>
      <c r="D40" s="13" t="s">
        <v>216</v>
      </c>
      <c r="E40" s="13" t="s">
        <v>217</v>
      </c>
      <c r="F40" s="21"/>
      <c r="G40" s="21"/>
      <c r="H40" s="21"/>
      <c r="I40" s="21"/>
      <c r="J40" s="21"/>
      <c r="K40" s="21"/>
    </row>
    <row r="41" spans="1:11" ht="21.75" customHeight="1" x14ac:dyDescent="0.35">
      <c r="A41" s="20">
        <v>37</v>
      </c>
      <c r="B41" s="20">
        <v>290016</v>
      </c>
      <c r="C41" s="7" t="s">
        <v>224</v>
      </c>
      <c r="D41" s="7" t="s">
        <v>225</v>
      </c>
      <c r="E41" s="7" t="s">
        <v>226</v>
      </c>
      <c r="F41" s="20"/>
      <c r="G41" s="20"/>
      <c r="H41" s="20"/>
      <c r="I41" s="20"/>
      <c r="J41" s="20"/>
      <c r="K41" s="20"/>
    </row>
    <row r="42" spans="1:11" ht="21.75" customHeight="1" x14ac:dyDescent="0.35">
      <c r="A42" s="21">
        <v>38</v>
      </c>
      <c r="B42" s="21">
        <v>290021</v>
      </c>
      <c r="C42" s="13" t="s">
        <v>227</v>
      </c>
      <c r="D42" s="13" t="s">
        <v>225</v>
      </c>
      <c r="E42" s="13" t="s">
        <v>226</v>
      </c>
      <c r="F42" s="21"/>
      <c r="G42" s="21"/>
      <c r="H42" s="21"/>
      <c r="I42" s="21"/>
      <c r="J42" s="21"/>
      <c r="K42" s="21"/>
    </row>
    <row r="43" spans="1:11" ht="21.75" customHeight="1" x14ac:dyDescent="0.35">
      <c r="A43" s="20">
        <v>39</v>
      </c>
      <c r="B43" s="20">
        <v>290022</v>
      </c>
      <c r="C43" s="7" t="s">
        <v>228</v>
      </c>
      <c r="D43" s="7" t="s">
        <v>225</v>
      </c>
      <c r="E43" s="7" t="s">
        <v>226</v>
      </c>
      <c r="F43" s="20"/>
      <c r="G43" s="20"/>
      <c r="H43" s="20"/>
      <c r="I43" s="20"/>
      <c r="J43" s="20"/>
      <c r="K43" s="20"/>
    </row>
    <row r="44" spans="1:11" ht="21.75" customHeight="1" x14ac:dyDescent="0.35">
      <c r="A44" s="21">
        <v>40</v>
      </c>
      <c r="B44" s="21">
        <v>290044</v>
      </c>
      <c r="C44" s="13" t="s">
        <v>229</v>
      </c>
      <c r="D44" s="13" t="s">
        <v>225</v>
      </c>
      <c r="E44" s="13" t="s">
        <v>226</v>
      </c>
      <c r="F44" s="21"/>
      <c r="G44" s="21"/>
      <c r="H44" s="21"/>
      <c r="I44" s="21"/>
      <c r="J44" s="21"/>
      <c r="K44" s="21"/>
    </row>
    <row r="45" spans="1:11" ht="21.75" customHeight="1" x14ac:dyDescent="0.35">
      <c r="A45" s="20">
        <v>41</v>
      </c>
      <c r="B45" s="20">
        <v>360035</v>
      </c>
      <c r="C45" s="7" t="s">
        <v>230</v>
      </c>
      <c r="D45" s="7" t="s">
        <v>231</v>
      </c>
      <c r="E45" s="7" t="s">
        <v>232</v>
      </c>
      <c r="F45" s="20"/>
      <c r="G45" s="20"/>
      <c r="H45" s="20"/>
      <c r="I45" s="20"/>
      <c r="J45" s="20"/>
      <c r="K45" s="20"/>
    </row>
    <row r="46" spans="1:11" ht="21.75" customHeight="1" x14ac:dyDescent="0.35">
      <c r="A46" s="21">
        <v>42</v>
      </c>
      <c r="B46" s="21">
        <v>360036</v>
      </c>
      <c r="C46" s="13" t="s">
        <v>233</v>
      </c>
      <c r="D46" s="13" t="s">
        <v>231</v>
      </c>
      <c r="E46" s="13" t="s">
        <v>232</v>
      </c>
      <c r="F46" s="21"/>
      <c r="G46" s="21"/>
      <c r="H46" s="21"/>
      <c r="I46" s="21"/>
      <c r="J46" s="21"/>
      <c r="K46" s="21"/>
    </row>
    <row r="47" spans="1:11" ht="21.75" customHeight="1" x14ac:dyDescent="0.35">
      <c r="A47" s="20">
        <v>43</v>
      </c>
      <c r="B47" s="20">
        <v>360050</v>
      </c>
      <c r="C47" s="7" t="s">
        <v>234</v>
      </c>
      <c r="D47" s="7" t="s">
        <v>231</v>
      </c>
      <c r="E47" s="7" t="s">
        <v>232</v>
      </c>
      <c r="F47" s="20"/>
      <c r="G47" s="20"/>
      <c r="H47" s="20"/>
      <c r="I47" s="20"/>
      <c r="J47" s="20"/>
      <c r="K47" s="20"/>
    </row>
    <row r="48" spans="1:11" ht="21.75" customHeight="1" x14ac:dyDescent="0.35">
      <c r="A48" s="21">
        <v>44</v>
      </c>
      <c r="B48" s="21">
        <v>360051</v>
      </c>
      <c r="C48" s="13" t="s">
        <v>235</v>
      </c>
      <c r="D48" s="13" t="s">
        <v>231</v>
      </c>
      <c r="E48" s="13" t="s">
        <v>232</v>
      </c>
      <c r="F48" s="21"/>
      <c r="G48" s="21"/>
      <c r="H48" s="21"/>
      <c r="I48" s="21"/>
      <c r="J48" s="21"/>
      <c r="K48" s="21"/>
    </row>
  </sheetData>
  <mergeCells count="2">
    <mergeCell ref="A1:K1"/>
    <mergeCell ref="A2:K2"/>
  </mergeCells>
  <conditionalFormatting sqref="H5:H48">
    <cfRule type="cellIs" dxfId="7" priority="5" operator="equal">
      <formula>"Critical"</formula>
    </cfRule>
    <cfRule type="cellIs" dxfId="6" priority="6" operator="equal">
      <formula>"None"</formula>
    </cfRule>
  </conditionalFormatting>
  <conditionalFormatting sqref="J5:J48">
    <cfRule type="cellIs" dxfId="5" priority="2" operator="equal">
      <formula>"Fully Compliant"</formula>
    </cfRule>
    <cfRule type="cellIs" dxfId="4" priority="3" operator="equal">
      <formula>"High Attention"</formula>
    </cfRule>
    <cfRule type="cellIs" dxfId="3" priority="4" operator="equal">
      <formula>"Critical Risk"</formula>
    </cfRule>
  </conditionalFormatting>
  <dataValidations count="2">
    <dataValidation type="list" allowBlank="1" sqref="J5:J48" xr:uid="{00000000-0002-0000-0100-000000000000}">
      <formula1>"Fully Compliant,Minor Attention,High Attention,Critical Risk"</formula1>
      <formula2>0</formula2>
    </dataValidation>
    <dataValidation type="list" allowBlank="1" sqref="H5:H48" xr:uid="{00000000-0002-0000-0100-000001000000}">
      <formula1>"None,Minor,Major,Critical"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4"/>
  <sheetViews>
    <sheetView showGridLines="0" zoomScaleNormal="100" workbookViewId="0">
      <selection sqref="A1:K1"/>
    </sheetView>
  </sheetViews>
  <sheetFormatPr defaultColWidth="8.54296875" defaultRowHeight="14.5" x14ac:dyDescent="0.35"/>
  <cols>
    <col min="1" max="1" width="5" customWidth="1"/>
    <col min="2" max="2" width="30" customWidth="1"/>
    <col min="3" max="3" width="16" customWidth="1"/>
    <col min="4" max="4" width="24" customWidth="1"/>
    <col min="5" max="8" width="16" customWidth="1"/>
    <col min="9" max="9" width="20" customWidth="1"/>
    <col min="10" max="11" width="16" customWidth="1"/>
  </cols>
  <sheetData>
    <row r="1" spans="1:11" ht="43.5" customHeight="1" x14ac:dyDescent="0.35">
      <c r="A1" s="25" t="s">
        <v>236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9.5" customHeight="1" x14ac:dyDescent="0.35">
      <c r="A2" s="26" t="s">
        <v>237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4" spans="1:11" ht="27.75" customHeight="1" x14ac:dyDescent="0.35">
      <c r="A4" s="4" t="s">
        <v>14</v>
      </c>
      <c r="B4" s="4" t="s">
        <v>238</v>
      </c>
      <c r="C4" s="4" t="s">
        <v>165</v>
      </c>
      <c r="D4" s="4" t="s">
        <v>239</v>
      </c>
      <c r="E4" s="4" t="s">
        <v>240</v>
      </c>
      <c r="F4" s="4" t="s">
        <v>241</v>
      </c>
      <c r="G4" s="4" t="s">
        <v>242</v>
      </c>
      <c r="H4" s="4" t="s">
        <v>243</v>
      </c>
      <c r="I4" s="4" t="s">
        <v>244</v>
      </c>
      <c r="J4" s="4" t="s">
        <v>245</v>
      </c>
      <c r="K4" s="4" t="s">
        <v>246</v>
      </c>
    </row>
    <row r="5" spans="1:11" ht="24" customHeight="1" x14ac:dyDescent="0.35">
      <c r="A5" s="22">
        <v>1</v>
      </c>
      <c r="B5" s="22"/>
      <c r="C5" s="22"/>
      <c r="D5" s="22"/>
      <c r="E5" s="22"/>
      <c r="F5" s="22"/>
      <c r="G5" s="22"/>
      <c r="H5" s="22"/>
      <c r="I5" s="23">
        <f t="shared" ref="I5:I36" si="0">COUNTIF(E5:H5,"&lt;&gt;"&amp;"")</f>
        <v>0</v>
      </c>
      <c r="J5" s="22"/>
      <c r="K5" s="22"/>
    </row>
    <row r="6" spans="1:11" ht="24" customHeight="1" x14ac:dyDescent="0.35">
      <c r="A6" s="8">
        <v>2</v>
      </c>
      <c r="B6" s="8"/>
      <c r="C6" s="8"/>
      <c r="D6" s="8"/>
      <c r="E6" s="8"/>
      <c r="F6" s="8"/>
      <c r="G6" s="8"/>
      <c r="H6" s="8"/>
      <c r="I6" s="10">
        <f t="shared" si="0"/>
        <v>0</v>
      </c>
      <c r="J6" s="8"/>
      <c r="K6" s="8"/>
    </row>
    <row r="7" spans="1:11" ht="24" customHeight="1" x14ac:dyDescent="0.35">
      <c r="A7" s="22">
        <v>3</v>
      </c>
      <c r="B7" s="22"/>
      <c r="C7" s="22"/>
      <c r="D7" s="22"/>
      <c r="E7" s="22"/>
      <c r="F7" s="22"/>
      <c r="G7" s="22"/>
      <c r="H7" s="22"/>
      <c r="I7" s="23">
        <f t="shared" si="0"/>
        <v>0</v>
      </c>
      <c r="J7" s="22"/>
      <c r="K7" s="22"/>
    </row>
    <row r="8" spans="1:11" ht="24" customHeight="1" x14ac:dyDescent="0.35">
      <c r="A8" s="8">
        <v>4</v>
      </c>
      <c r="B8" s="8"/>
      <c r="C8" s="8"/>
      <c r="D8" s="8"/>
      <c r="E8" s="8"/>
      <c r="F8" s="8"/>
      <c r="G8" s="8"/>
      <c r="H8" s="8"/>
      <c r="I8" s="10">
        <f t="shared" si="0"/>
        <v>0</v>
      </c>
      <c r="J8" s="8"/>
      <c r="K8" s="8"/>
    </row>
    <row r="9" spans="1:11" ht="24" customHeight="1" x14ac:dyDescent="0.35">
      <c r="A9" s="22">
        <v>5</v>
      </c>
      <c r="B9" s="22"/>
      <c r="C9" s="22"/>
      <c r="D9" s="22"/>
      <c r="E9" s="22"/>
      <c r="F9" s="22"/>
      <c r="G9" s="22"/>
      <c r="H9" s="22"/>
      <c r="I9" s="23">
        <f t="shared" si="0"/>
        <v>0</v>
      </c>
      <c r="J9" s="22"/>
      <c r="K9" s="22"/>
    </row>
    <row r="10" spans="1:11" ht="24" customHeight="1" x14ac:dyDescent="0.35">
      <c r="A10" s="8">
        <v>6</v>
      </c>
      <c r="B10" s="8"/>
      <c r="C10" s="8"/>
      <c r="D10" s="8"/>
      <c r="E10" s="8"/>
      <c r="F10" s="8"/>
      <c r="G10" s="8"/>
      <c r="H10" s="8"/>
      <c r="I10" s="10">
        <f t="shared" si="0"/>
        <v>0</v>
      </c>
      <c r="J10" s="8"/>
      <c r="K10" s="8"/>
    </row>
    <row r="11" spans="1:11" ht="24" customHeight="1" x14ac:dyDescent="0.35">
      <c r="A11" s="22">
        <v>7</v>
      </c>
      <c r="B11" s="22"/>
      <c r="C11" s="22"/>
      <c r="D11" s="22"/>
      <c r="E11" s="22"/>
      <c r="F11" s="22"/>
      <c r="G11" s="22"/>
      <c r="H11" s="22"/>
      <c r="I11" s="23">
        <f t="shared" si="0"/>
        <v>0</v>
      </c>
      <c r="J11" s="22"/>
      <c r="K11" s="22"/>
    </row>
    <row r="12" spans="1:11" ht="24" customHeight="1" x14ac:dyDescent="0.35">
      <c r="A12" s="8">
        <v>8</v>
      </c>
      <c r="B12" s="8"/>
      <c r="C12" s="8"/>
      <c r="D12" s="8"/>
      <c r="E12" s="8"/>
      <c r="F12" s="8"/>
      <c r="G12" s="8"/>
      <c r="H12" s="8"/>
      <c r="I12" s="10">
        <f t="shared" si="0"/>
        <v>0</v>
      </c>
      <c r="J12" s="8"/>
      <c r="K12" s="8"/>
    </row>
    <row r="13" spans="1:11" ht="24" customHeight="1" x14ac:dyDescent="0.35">
      <c r="A13" s="22">
        <v>9</v>
      </c>
      <c r="B13" s="22"/>
      <c r="C13" s="22"/>
      <c r="D13" s="22"/>
      <c r="E13" s="22"/>
      <c r="F13" s="22"/>
      <c r="G13" s="22"/>
      <c r="H13" s="22"/>
      <c r="I13" s="23">
        <f t="shared" si="0"/>
        <v>0</v>
      </c>
      <c r="J13" s="22"/>
      <c r="K13" s="22"/>
    </row>
    <row r="14" spans="1:11" ht="24" customHeight="1" x14ac:dyDescent="0.35">
      <c r="A14" s="8">
        <v>10</v>
      </c>
      <c r="B14" s="8"/>
      <c r="C14" s="8"/>
      <c r="D14" s="8"/>
      <c r="E14" s="8"/>
      <c r="F14" s="8"/>
      <c r="G14" s="8"/>
      <c r="H14" s="8"/>
      <c r="I14" s="10">
        <f t="shared" si="0"/>
        <v>0</v>
      </c>
      <c r="J14" s="8"/>
      <c r="K14" s="8"/>
    </row>
    <row r="15" spans="1:11" ht="24" customHeight="1" x14ac:dyDescent="0.35">
      <c r="A15" s="22">
        <v>11</v>
      </c>
      <c r="B15" s="22"/>
      <c r="C15" s="22"/>
      <c r="D15" s="22"/>
      <c r="E15" s="22"/>
      <c r="F15" s="22"/>
      <c r="G15" s="22"/>
      <c r="H15" s="22"/>
      <c r="I15" s="23">
        <f t="shared" si="0"/>
        <v>0</v>
      </c>
      <c r="J15" s="22"/>
      <c r="K15" s="22"/>
    </row>
    <row r="16" spans="1:11" ht="24" customHeight="1" x14ac:dyDescent="0.35">
      <c r="A16" s="8">
        <v>12</v>
      </c>
      <c r="B16" s="8"/>
      <c r="C16" s="8"/>
      <c r="D16" s="8"/>
      <c r="E16" s="8"/>
      <c r="F16" s="8"/>
      <c r="G16" s="8"/>
      <c r="H16" s="8"/>
      <c r="I16" s="10">
        <f t="shared" si="0"/>
        <v>0</v>
      </c>
      <c r="J16" s="8"/>
      <c r="K16" s="8"/>
    </row>
    <row r="17" spans="1:11" ht="24" customHeight="1" x14ac:dyDescent="0.35">
      <c r="A17" s="22">
        <v>13</v>
      </c>
      <c r="B17" s="22"/>
      <c r="C17" s="22"/>
      <c r="D17" s="22"/>
      <c r="E17" s="22"/>
      <c r="F17" s="22"/>
      <c r="G17" s="22"/>
      <c r="H17" s="22"/>
      <c r="I17" s="23">
        <f t="shared" si="0"/>
        <v>0</v>
      </c>
      <c r="J17" s="22"/>
      <c r="K17" s="22"/>
    </row>
    <row r="18" spans="1:11" ht="24" customHeight="1" x14ac:dyDescent="0.35">
      <c r="A18" s="8">
        <v>14</v>
      </c>
      <c r="B18" s="8"/>
      <c r="C18" s="8"/>
      <c r="D18" s="8"/>
      <c r="E18" s="8"/>
      <c r="F18" s="8"/>
      <c r="G18" s="8"/>
      <c r="H18" s="8"/>
      <c r="I18" s="10">
        <f t="shared" si="0"/>
        <v>0</v>
      </c>
      <c r="J18" s="8"/>
      <c r="K18" s="8"/>
    </row>
    <row r="19" spans="1:11" ht="24" customHeight="1" x14ac:dyDescent="0.35">
      <c r="A19" s="22">
        <v>15</v>
      </c>
      <c r="B19" s="22"/>
      <c r="C19" s="22"/>
      <c r="D19" s="22"/>
      <c r="E19" s="22"/>
      <c r="F19" s="22"/>
      <c r="G19" s="22"/>
      <c r="H19" s="22"/>
      <c r="I19" s="23">
        <f t="shared" si="0"/>
        <v>0</v>
      </c>
      <c r="J19" s="22"/>
      <c r="K19" s="22"/>
    </row>
    <row r="20" spans="1:11" ht="24" customHeight="1" x14ac:dyDescent="0.35">
      <c r="A20" s="8">
        <v>16</v>
      </c>
      <c r="B20" s="8"/>
      <c r="C20" s="8"/>
      <c r="D20" s="8"/>
      <c r="E20" s="8"/>
      <c r="F20" s="8"/>
      <c r="G20" s="8"/>
      <c r="H20" s="8"/>
      <c r="I20" s="10">
        <f t="shared" si="0"/>
        <v>0</v>
      </c>
      <c r="J20" s="8"/>
      <c r="K20" s="8"/>
    </row>
    <row r="21" spans="1:11" ht="24" customHeight="1" x14ac:dyDescent="0.35">
      <c r="A21" s="22">
        <v>17</v>
      </c>
      <c r="B21" s="22"/>
      <c r="C21" s="22"/>
      <c r="D21" s="22"/>
      <c r="E21" s="22"/>
      <c r="F21" s="22"/>
      <c r="G21" s="22"/>
      <c r="H21" s="22"/>
      <c r="I21" s="23">
        <f t="shared" si="0"/>
        <v>0</v>
      </c>
      <c r="J21" s="22"/>
      <c r="K21" s="22"/>
    </row>
    <row r="22" spans="1:11" ht="24" customHeight="1" x14ac:dyDescent="0.35">
      <c r="A22" s="8">
        <v>18</v>
      </c>
      <c r="B22" s="8"/>
      <c r="C22" s="8"/>
      <c r="D22" s="8"/>
      <c r="E22" s="8"/>
      <c r="F22" s="8"/>
      <c r="G22" s="8"/>
      <c r="H22" s="8"/>
      <c r="I22" s="10">
        <f t="shared" si="0"/>
        <v>0</v>
      </c>
      <c r="J22" s="8"/>
      <c r="K22" s="8"/>
    </row>
    <row r="23" spans="1:11" ht="24" customHeight="1" x14ac:dyDescent="0.35">
      <c r="A23" s="22">
        <v>19</v>
      </c>
      <c r="B23" s="22"/>
      <c r="C23" s="22"/>
      <c r="D23" s="22"/>
      <c r="E23" s="22"/>
      <c r="F23" s="22"/>
      <c r="G23" s="22"/>
      <c r="H23" s="22"/>
      <c r="I23" s="23">
        <f t="shared" si="0"/>
        <v>0</v>
      </c>
      <c r="J23" s="22"/>
      <c r="K23" s="22"/>
    </row>
    <row r="24" spans="1:11" ht="24" customHeight="1" x14ac:dyDescent="0.35">
      <c r="A24" s="8">
        <v>20</v>
      </c>
      <c r="B24" s="8"/>
      <c r="C24" s="8"/>
      <c r="D24" s="8"/>
      <c r="E24" s="8"/>
      <c r="F24" s="8"/>
      <c r="G24" s="8"/>
      <c r="H24" s="8"/>
      <c r="I24" s="10">
        <f t="shared" si="0"/>
        <v>0</v>
      </c>
      <c r="J24" s="8"/>
      <c r="K24" s="8"/>
    </row>
    <row r="25" spans="1:11" ht="24" customHeight="1" x14ac:dyDescent="0.35">
      <c r="A25" s="22">
        <v>21</v>
      </c>
      <c r="B25" s="22"/>
      <c r="C25" s="22"/>
      <c r="D25" s="22"/>
      <c r="E25" s="22"/>
      <c r="F25" s="22"/>
      <c r="G25" s="22"/>
      <c r="H25" s="22"/>
      <c r="I25" s="23">
        <f t="shared" si="0"/>
        <v>0</v>
      </c>
      <c r="J25" s="22"/>
      <c r="K25" s="22"/>
    </row>
    <row r="26" spans="1:11" ht="24" customHeight="1" x14ac:dyDescent="0.35">
      <c r="A26" s="8">
        <v>22</v>
      </c>
      <c r="B26" s="8"/>
      <c r="C26" s="8"/>
      <c r="D26" s="8"/>
      <c r="E26" s="8"/>
      <c r="F26" s="8"/>
      <c r="G26" s="8"/>
      <c r="H26" s="8"/>
      <c r="I26" s="10">
        <f t="shared" si="0"/>
        <v>0</v>
      </c>
      <c r="J26" s="8"/>
      <c r="K26" s="8"/>
    </row>
    <row r="27" spans="1:11" ht="24" customHeight="1" x14ac:dyDescent="0.35">
      <c r="A27" s="22">
        <v>23</v>
      </c>
      <c r="B27" s="22"/>
      <c r="C27" s="22"/>
      <c r="D27" s="22"/>
      <c r="E27" s="22"/>
      <c r="F27" s="22"/>
      <c r="G27" s="22"/>
      <c r="H27" s="22"/>
      <c r="I27" s="23">
        <f t="shared" si="0"/>
        <v>0</v>
      </c>
      <c r="J27" s="22"/>
      <c r="K27" s="22"/>
    </row>
    <row r="28" spans="1:11" ht="24" customHeight="1" x14ac:dyDescent="0.35">
      <c r="A28" s="8">
        <v>24</v>
      </c>
      <c r="B28" s="8"/>
      <c r="C28" s="8"/>
      <c r="D28" s="8"/>
      <c r="E28" s="8"/>
      <c r="F28" s="8"/>
      <c r="G28" s="8"/>
      <c r="H28" s="8"/>
      <c r="I28" s="10">
        <f t="shared" si="0"/>
        <v>0</v>
      </c>
      <c r="J28" s="8"/>
      <c r="K28" s="8"/>
    </row>
    <row r="29" spans="1:11" ht="24" customHeight="1" x14ac:dyDescent="0.35">
      <c r="A29" s="22">
        <v>25</v>
      </c>
      <c r="B29" s="22"/>
      <c r="C29" s="22"/>
      <c r="D29" s="22"/>
      <c r="E29" s="22"/>
      <c r="F29" s="22"/>
      <c r="G29" s="22"/>
      <c r="H29" s="22"/>
      <c r="I29" s="23">
        <f t="shared" si="0"/>
        <v>0</v>
      </c>
      <c r="J29" s="22"/>
      <c r="K29" s="22"/>
    </row>
    <row r="30" spans="1:11" ht="24" customHeight="1" x14ac:dyDescent="0.35">
      <c r="A30" s="8">
        <v>26</v>
      </c>
      <c r="B30" s="8"/>
      <c r="C30" s="8"/>
      <c r="D30" s="8"/>
      <c r="E30" s="8"/>
      <c r="F30" s="8"/>
      <c r="G30" s="8"/>
      <c r="H30" s="8"/>
      <c r="I30" s="10">
        <f t="shared" si="0"/>
        <v>0</v>
      </c>
      <c r="J30" s="8"/>
      <c r="K30" s="8"/>
    </row>
    <row r="31" spans="1:11" ht="24" customHeight="1" x14ac:dyDescent="0.35">
      <c r="A31" s="22">
        <v>27</v>
      </c>
      <c r="B31" s="22"/>
      <c r="C31" s="22"/>
      <c r="D31" s="22"/>
      <c r="E31" s="22"/>
      <c r="F31" s="22"/>
      <c r="G31" s="22"/>
      <c r="H31" s="22"/>
      <c r="I31" s="23">
        <f t="shared" si="0"/>
        <v>0</v>
      </c>
      <c r="J31" s="22"/>
      <c r="K31" s="22"/>
    </row>
    <row r="32" spans="1:11" ht="24" customHeight="1" x14ac:dyDescent="0.35">
      <c r="A32" s="8">
        <v>28</v>
      </c>
      <c r="B32" s="8"/>
      <c r="C32" s="8"/>
      <c r="D32" s="8"/>
      <c r="E32" s="8"/>
      <c r="F32" s="8"/>
      <c r="G32" s="8"/>
      <c r="H32" s="8"/>
      <c r="I32" s="10">
        <f t="shared" si="0"/>
        <v>0</v>
      </c>
      <c r="J32" s="8"/>
      <c r="K32" s="8"/>
    </row>
    <row r="33" spans="1:11" ht="24" customHeight="1" x14ac:dyDescent="0.35">
      <c r="A33" s="22">
        <v>29</v>
      </c>
      <c r="B33" s="22"/>
      <c r="C33" s="22"/>
      <c r="D33" s="22"/>
      <c r="E33" s="22"/>
      <c r="F33" s="22"/>
      <c r="G33" s="22"/>
      <c r="H33" s="22"/>
      <c r="I33" s="23">
        <f t="shared" si="0"/>
        <v>0</v>
      </c>
      <c r="J33" s="22"/>
      <c r="K33" s="22"/>
    </row>
    <row r="34" spans="1:11" ht="24" customHeight="1" x14ac:dyDescent="0.35">
      <c r="A34" s="8">
        <v>30</v>
      </c>
      <c r="B34" s="8"/>
      <c r="C34" s="8"/>
      <c r="D34" s="8"/>
      <c r="E34" s="8"/>
      <c r="F34" s="8"/>
      <c r="G34" s="8"/>
      <c r="H34" s="8"/>
      <c r="I34" s="10">
        <f t="shared" si="0"/>
        <v>0</v>
      </c>
      <c r="J34" s="8"/>
      <c r="K34" s="8"/>
    </row>
    <row r="35" spans="1:11" ht="24" customHeight="1" x14ac:dyDescent="0.35">
      <c r="A35" s="22">
        <v>31</v>
      </c>
      <c r="B35" s="22"/>
      <c r="C35" s="22"/>
      <c r="D35" s="22"/>
      <c r="E35" s="22"/>
      <c r="F35" s="22"/>
      <c r="G35" s="22"/>
      <c r="H35" s="22"/>
      <c r="I35" s="23">
        <f t="shared" si="0"/>
        <v>0</v>
      </c>
      <c r="J35" s="22"/>
      <c r="K35" s="22"/>
    </row>
    <row r="36" spans="1:11" ht="24" customHeight="1" x14ac:dyDescent="0.35">
      <c r="A36" s="8">
        <v>32</v>
      </c>
      <c r="B36" s="8"/>
      <c r="C36" s="8"/>
      <c r="D36" s="8"/>
      <c r="E36" s="8"/>
      <c r="F36" s="8"/>
      <c r="G36" s="8"/>
      <c r="H36" s="8"/>
      <c r="I36" s="10">
        <f t="shared" si="0"/>
        <v>0</v>
      </c>
      <c r="J36" s="8"/>
      <c r="K36" s="8"/>
    </row>
    <row r="37" spans="1:11" ht="24" customHeight="1" x14ac:dyDescent="0.35">
      <c r="A37" s="22">
        <v>33</v>
      </c>
      <c r="B37" s="22"/>
      <c r="C37" s="22"/>
      <c r="D37" s="22"/>
      <c r="E37" s="22"/>
      <c r="F37" s="22"/>
      <c r="G37" s="22"/>
      <c r="H37" s="22"/>
      <c r="I37" s="23">
        <f t="shared" ref="I37:I54" si="1">COUNTIF(E37:H37,"&lt;&gt;"&amp;"")</f>
        <v>0</v>
      </c>
      <c r="J37" s="22"/>
      <c r="K37" s="22"/>
    </row>
    <row r="38" spans="1:11" ht="24" customHeight="1" x14ac:dyDescent="0.35">
      <c r="A38" s="8">
        <v>34</v>
      </c>
      <c r="B38" s="8"/>
      <c r="C38" s="8"/>
      <c r="D38" s="8"/>
      <c r="E38" s="8"/>
      <c r="F38" s="8"/>
      <c r="G38" s="8"/>
      <c r="H38" s="8"/>
      <c r="I38" s="10">
        <f t="shared" si="1"/>
        <v>0</v>
      </c>
      <c r="J38" s="8"/>
      <c r="K38" s="8"/>
    </row>
    <row r="39" spans="1:11" ht="24" customHeight="1" x14ac:dyDescent="0.35">
      <c r="A39" s="22">
        <v>35</v>
      </c>
      <c r="B39" s="22"/>
      <c r="C39" s="22"/>
      <c r="D39" s="22"/>
      <c r="E39" s="22"/>
      <c r="F39" s="22"/>
      <c r="G39" s="22"/>
      <c r="H39" s="22"/>
      <c r="I39" s="23">
        <f t="shared" si="1"/>
        <v>0</v>
      </c>
      <c r="J39" s="22"/>
      <c r="K39" s="22"/>
    </row>
    <row r="40" spans="1:11" ht="24" customHeight="1" x14ac:dyDescent="0.35">
      <c r="A40" s="8">
        <v>36</v>
      </c>
      <c r="B40" s="8"/>
      <c r="C40" s="8"/>
      <c r="D40" s="8"/>
      <c r="E40" s="8"/>
      <c r="F40" s="8"/>
      <c r="G40" s="8"/>
      <c r="H40" s="8"/>
      <c r="I40" s="10">
        <f t="shared" si="1"/>
        <v>0</v>
      </c>
      <c r="J40" s="8"/>
      <c r="K40" s="8"/>
    </row>
    <row r="41" spans="1:11" ht="24" customHeight="1" x14ac:dyDescent="0.35">
      <c r="A41" s="22">
        <v>37</v>
      </c>
      <c r="B41" s="22"/>
      <c r="C41" s="22"/>
      <c r="D41" s="22"/>
      <c r="E41" s="22"/>
      <c r="F41" s="22"/>
      <c r="G41" s="22"/>
      <c r="H41" s="22"/>
      <c r="I41" s="23">
        <f t="shared" si="1"/>
        <v>0</v>
      </c>
      <c r="J41" s="22"/>
      <c r="K41" s="22"/>
    </row>
    <row r="42" spans="1:11" ht="24" customHeight="1" x14ac:dyDescent="0.35">
      <c r="A42" s="8">
        <v>38</v>
      </c>
      <c r="B42" s="8"/>
      <c r="C42" s="8"/>
      <c r="D42" s="8"/>
      <c r="E42" s="8"/>
      <c r="F42" s="8"/>
      <c r="G42" s="8"/>
      <c r="H42" s="8"/>
      <c r="I42" s="10">
        <f t="shared" si="1"/>
        <v>0</v>
      </c>
      <c r="J42" s="8"/>
      <c r="K42" s="8"/>
    </row>
    <row r="43" spans="1:11" ht="24" customHeight="1" x14ac:dyDescent="0.35">
      <c r="A43" s="22">
        <v>39</v>
      </c>
      <c r="B43" s="22"/>
      <c r="C43" s="22"/>
      <c r="D43" s="22"/>
      <c r="E43" s="22"/>
      <c r="F43" s="22"/>
      <c r="G43" s="22"/>
      <c r="H43" s="22"/>
      <c r="I43" s="23">
        <f t="shared" si="1"/>
        <v>0</v>
      </c>
      <c r="J43" s="22"/>
      <c r="K43" s="22"/>
    </row>
    <row r="44" spans="1:11" ht="24" customHeight="1" x14ac:dyDescent="0.35">
      <c r="A44" s="8">
        <v>40</v>
      </c>
      <c r="B44" s="8"/>
      <c r="C44" s="8"/>
      <c r="D44" s="8"/>
      <c r="E44" s="8"/>
      <c r="F44" s="8"/>
      <c r="G44" s="8"/>
      <c r="H44" s="8"/>
      <c r="I44" s="10">
        <f t="shared" si="1"/>
        <v>0</v>
      </c>
      <c r="J44" s="8"/>
      <c r="K44" s="8"/>
    </row>
    <row r="45" spans="1:11" ht="24" customHeight="1" x14ac:dyDescent="0.35">
      <c r="A45" s="22">
        <v>41</v>
      </c>
      <c r="B45" s="22"/>
      <c r="C45" s="22"/>
      <c r="D45" s="22"/>
      <c r="E45" s="22"/>
      <c r="F45" s="22"/>
      <c r="G45" s="22"/>
      <c r="H45" s="22"/>
      <c r="I45" s="23">
        <f t="shared" si="1"/>
        <v>0</v>
      </c>
      <c r="J45" s="22"/>
      <c r="K45" s="22"/>
    </row>
    <row r="46" spans="1:11" ht="24" customHeight="1" x14ac:dyDescent="0.35">
      <c r="A46" s="8">
        <v>42</v>
      </c>
      <c r="B46" s="8"/>
      <c r="C46" s="8"/>
      <c r="D46" s="8"/>
      <c r="E46" s="8"/>
      <c r="F46" s="8"/>
      <c r="G46" s="8"/>
      <c r="H46" s="8"/>
      <c r="I46" s="10">
        <f t="shared" si="1"/>
        <v>0</v>
      </c>
      <c r="J46" s="8"/>
      <c r="K46" s="8"/>
    </row>
    <row r="47" spans="1:11" ht="24" customHeight="1" x14ac:dyDescent="0.35">
      <c r="A47" s="22">
        <v>43</v>
      </c>
      <c r="B47" s="22"/>
      <c r="C47" s="22"/>
      <c r="D47" s="22"/>
      <c r="E47" s="22"/>
      <c r="F47" s="22"/>
      <c r="G47" s="22"/>
      <c r="H47" s="22"/>
      <c r="I47" s="23">
        <f t="shared" si="1"/>
        <v>0</v>
      </c>
      <c r="J47" s="22"/>
      <c r="K47" s="22"/>
    </row>
    <row r="48" spans="1:11" ht="24" customHeight="1" x14ac:dyDescent="0.35">
      <c r="A48" s="8">
        <v>44</v>
      </c>
      <c r="B48" s="8"/>
      <c r="C48" s="8"/>
      <c r="D48" s="8"/>
      <c r="E48" s="8"/>
      <c r="F48" s="8"/>
      <c r="G48" s="8"/>
      <c r="H48" s="8"/>
      <c r="I48" s="10">
        <f t="shared" si="1"/>
        <v>0</v>
      </c>
      <c r="J48" s="8"/>
      <c r="K48" s="8"/>
    </row>
    <row r="49" spans="1:11" ht="24" customHeight="1" x14ac:dyDescent="0.35">
      <c r="A49" s="22">
        <v>45</v>
      </c>
      <c r="B49" s="22"/>
      <c r="C49" s="22"/>
      <c r="D49" s="22"/>
      <c r="E49" s="22"/>
      <c r="F49" s="22"/>
      <c r="G49" s="22"/>
      <c r="H49" s="22"/>
      <c r="I49" s="23">
        <f t="shared" si="1"/>
        <v>0</v>
      </c>
      <c r="J49" s="22"/>
      <c r="K49" s="22"/>
    </row>
    <row r="50" spans="1:11" ht="24" customHeight="1" x14ac:dyDescent="0.35">
      <c r="A50" s="8">
        <v>46</v>
      </c>
      <c r="B50" s="8"/>
      <c r="C50" s="8"/>
      <c r="D50" s="8"/>
      <c r="E50" s="8"/>
      <c r="F50" s="8"/>
      <c r="G50" s="8"/>
      <c r="H50" s="8"/>
      <c r="I50" s="10">
        <f t="shared" si="1"/>
        <v>0</v>
      </c>
      <c r="J50" s="8"/>
      <c r="K50" s="8"/>
    </row>
    <row r="51" spans="1:11" ht="24" customHeight="1" x14ac:dyDescent="0.35">
      <c r="A51" s="22">
        <v>47</v>
      </c>
      <c r="B51" s="22"/>
      <c r="C51" s="22"/>
      <c r="D51" s="22"/>
      <c r="E51" s="22"/>
      <c r="F51" s="22"/>
      <c r="G51" s="22"/>
      <c r="H51" s="22"/>
      <c r="I51" s="23">
        <f t="shared" si="1"/>
        <v>0</v>
      </c>
      <c r="J51" s="22"/>
      <c r="K51" s="22"/>
    </row>
    <row r="52" spans="1:11" ht="24" customHeight="1" x14ac:dyDescent="0.35">
      <c r="A52" s="8">
        <v>48</v>
      </c>
      <c r="B52" s="8"/>
      <c r="C52" s="8"/>
      <c r="D52" s="8"/>
      <c r="E52" s="8"/>
      <c r="F52" s="8"/>
      <c r="G52" s="8"/>
      <c r="H52" s="8"/>
      <c r="I52" s="10">
        <f t="shared" si="1"/>
        <v>0</v>
      </c>
      <c r="J52" s="8"/>
      <c r="K52" s="8"/>
    </row>
    <row r="53" spans="1:11" ht="24" customHeight="1" x14ac:dyDescent="0.35">
      <c r="A53" s="22">
        <v>49</v>
      </c>
      <c r="B53" s="22"/>
      <c r="C53" s="22"/>
      <c r="D53" s="22"/>
      <c r="E53" s="22"/>
      <c r="F53" s="22"/>
      <c r="G53" s="22"/>
      <c r="H53" s="22"/>
      <c r="I53" s="23">
        <f t="shared" si="1"/>
        <v>0</v>
      </c>
      <c r="J53" s="22"/>
      <c r="K53" s="22"/>
    </row>
    <row r="54" spans="1:11" ht="24" customHeight="1" x14ac:dyDescent="0.35">
      <c r="A54" s="8">
        <v>50</v>
      </c>
      <c r="B54" s="8"/>
      <c r="C54" s="8"/>
      <c r="D54" s="8"/>
      <c r="E54" s="8"/>
      <c r="F54" s="8"/>
      <c r="G54" s="8"/>
      <c r="H54" s="8"/>
      <c r="I54" s="10">
        <f t="shared" si="1"/>
        <v>0</v>
      </c>
      <c r="J54" s="8"/>
      <c r="K54" s="8"/>
    </row>
  </sheetData>
  <mergeCells count="2">
    <mergeCell ref="A1:K1"/>
    <mergeCell ref="A2:K2"/>
  </mergeCells>
  <conditionalFormatting sqref="I5:I54">
    <cfRule type="cellIs" dxfId="2" priority="2" operator="greaterThanOrEqual">
      <formula>3</formula>
    </cfRule>
    <cfRule type="cellIs" dxfId="1" priority="3" operator="equal">
      <formula>2</formula>
    </cfRule>
    <cfRule type="cellIs" dxfId="0" priority="4" operator="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Governance</vt:lpstr>
      <vt:lpstr>Store Ranking &amp; Scorecard</vt:lpstr>
      <vt:lpstr>Repeat Offender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Jahid Inamdar</cp:lastModifiedBy>
  <cp:revision>0</cp:revision>
  <dcterms:created xsi:type="dcterms:W3CDTF">2026-05-19T05:54:30Z</dcterms:created>
  <dcterms:modified xsi:type="dcterms:W3CDTF">2026-06-11T03:38:32Z</dcterms:modified>
  <dc:language>en-US</dc:language>
</cp:coreProperties>
</file>